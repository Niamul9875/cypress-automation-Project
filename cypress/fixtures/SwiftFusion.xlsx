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\cypress\BankUltimus_Automation\cypress\fixtures\"/>
    </mc:Choice>
  </mc:AlternateContent>
  <xr:revisionPtr revIDLastSave="0" documentId="13_ncr:1_{1A542D54-CCC8-4288-827C-0AA27A9B56CC}" xr6:coauthVersionLast="47" xr6:coauthVersionMax="47" xr10:uidLastSave="{00000000-0000-0000-0000-000000000000}"/>
  <bookViews>
    <workbookView xWindow="20370" yWindow="-120" windowWidth="21840" windowHeight="13140" activeTab="4" xr2:uid="{00000000-000D-0000-FFFF-FFFF00000000}"/>
  </bookViews>
  <sheets>
    <sheet name="Login" sheetId="1" r:id="rId1"/>
    <sheet name="MenuSearch" sheetId="2" r:id="rId2"/>
    <sheet name="PACS_008" sheetId="6" r:id="rId3"/>
    <sheet name="PACS_009" sheetId="3" r:id="rId4"/>
    <sheet name="CAMT_054" sheetId="7" r:id="rId5"/>
    <sheet name="Sheet1" sheetId="5" r:id="rId6"/>
    <sheet name="SFAuthorization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4" i="5" l="1"/>
  <c r="F124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3" i="5"/>
  <c r="H90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H29" i="5" s="1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H59" i="5" s="1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H121" i="5" s="1"/>
  <c r="H122" i="5" s="1"/>
  <c r="I122" i="5" s="1"/>
  <c r="G122" i="5"/>
  <c r="G123" i="5"/>
  <c r="G3" i="5"/>
  <c r="H3" i="5" s="1"/>
  <c r="H60" i="5" l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I89" i="5" s="1"/>
  <c r="H91" i="5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J122" i="5"/>
  <c r="H30" i="5"/>
  <c r="H31" i="5" s="1"/>
  <c r="H32" i="5" s="1"/>
  <c r="H4" i="5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I28" i="5" s="1"/>
  <c r="H33" i="5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I58" i="5" s="1"/>
  <c r="J58" i="5" l="1"/>
</calcChain>
</file>

<file path=xl/sharedStrings.xml><?xml version="1.0" encoding="utf-8"?>
<sst xmlns="http://schemas.openxmlformats.org/spreadsheetml/2006/main" count="113" uniqueCount="84">
  <si>
    <t>url</t>
  </si>
  <si>
    <t>username</t>
  </si>
  <si>
    <t>password</t>
  </si>
  <si>
    <t>HomePageUrl</t>
  </si>
  <si>
    <t>FastPath</t>
  </si>
  <si>
    <t xml:space="preserve"> </t>
  </si>
  <si>
    <t>mahfuz</t>
  </si>
  <si>
    <t>http://192.168.10.253:4200/login</t>
  </si>
  <si>
    <t>http://192.168.10.253:4200/dashboard</t>
  </si>
  <si>
    <t>123456789</t>
  </si>
  <si>
    <t>BM_ID</t>
  </si>
  <si>
    <t>M_ID</t>
  </si>
  <si>
    <t>INS_ID</t>
  </si>
  <si>
    <t>USD - US Dollar</t>
  </si>
  <si>
    <t>Currency</t>
  </si>
  <si>
    <t>Amount</t>
  </si>
  <si>
    <t>100000</t>
  </si>
  <si>
    <t>http://192.168.10.253:4200/mx/pacs-009</t>
  </si>
  <si>
    <t>auth_func</t>
  </si>
  <si>
    <t>index</t>
  </si>
  <si>
    <t>PACS008 - Customer Credit Transfer</t>
  </si>
  <si>
    <t>PACS009 - Financial Institution Credit Transfer Return</t>
  </si>
  <si>
    <t>PACS002 - Payment Status Report</t>
  </si>
  <si>
    <t>PACS004 - Payment Return</t>
  </si>
  <si>
    <t>Char_Set</t>
  </si>
  <si>
    <t>Member_ID</t>
  </si>
  <si>
    <t>LEI</t>
  </si>
  <si>
    <t>VA - VaticanCityClearingSystemID</t>
  </si>
  <si>
    <t>Copy_Duplicate</t>
  </si>
  <si>
    <t>COPY</t>
  </si>
  <si>
    <t>Yes</t>
  </si>
  <si>
    <t>Priority</t>
  </si>
  <si>
    <t>High</t>
  </si>
  <si>
    <t>Clg_Sys_Ref</t>
  </si>
  <si>
    <t>Settl_Priority</t>
  </si>
  <si>
    <t>Name</t>
  </si>
  <si>
    <t>Purpose_Proprietary</t>
  </si>
  <si>
    <t>Remittance_Information</t>
  </si>
  <si>
    <t>MID123456</t>
  </si>
  <si>
    <t>LEI12345678912345678</t>
  </si>
  <si>
    <t>EndToEnd_ID</t>
  </si>
  <si>
    <t>Transaction_ID</t>
  </si>
  <si>
    <t>TID1234</t>
  </si>
  <si>
    <t>CS123456</t>
  </si>
  <si>
    <t>INSID123456789</t>
  </si>
  <si>
    <t>EtoE123456789</t>
  </si>
  <si>
    <t>CSR123456</t>
  </si>
  <si>
    <t>PP123456</t>
  </si>
  <si>
    <t>RI123456</t>
  </si>
  <si>
    <t>Clg_Sys_ID_Code</t>
  </si>
  <si>
    <t>31/05/2025</t>
  </si>
  <si>
    <t>30/06/2025</t>
  </si>
  <si>
    <t>31/07/2025</t>
  </si>
  <si>
    <t>31/08/2025</t>
  </si>
  <si>
    <t>16/06/2025</t>
  </si>
  <si>
    <t>26/06/2025</t>
  </si>
  <si>
    <t>20/08/2025</t>
  </si>
  <si>
    <t>Possible_Duplicate</t>
  </si>
  <si>
    <t>Copy</t>
  </si>
  <si>
    <t>Exchange_Rate</t>
  </si>
  <si>
    <t>Debitor</t>
  </si>
  <si>
    <t>Charge_Bearer</t>
  </si>
  <si>
    <t>Debtor_Name</t>
  </si>
  <si>
    <t>test</t>
  </si>
  <si>
    <t>Country</t>
  </si>
  <si>
    <t>001 - Bangladesh</t>
  </si>
  <si>
    <t>Address_Line1</t>
  </si>
  <si>
    <t>Address_Line2</t>
  </si>
  <si>
    <t>Dhaka, Bangladesh</t>
  </si>
  <si>
    <t>Creditor_Name</t>
  </si>
  <si>
    <t>Debtor</t>
  </si>
  <si>
    <t>Type</t>
  </si>
  <si>
    <t>Creditor</t>
  </si>
  <si>
    <t>Code</t>
  </si>
  <si>
    <t>code-1</t>
  </si>
  <si>
    <t>http://192.168.10.253:4200/mx/pacs-008</t>
  </si>
  <si>
    <t>Index</t>
  </si>
  <si>
    <t>PRINCIPAL BRANCH, SOUTHEAST BANK LIMITED (0002)</t>
  </si>
  <si>
    <t>Branch</t>
  </si>
  <si>
    <t>Start_Date</t>
  </si>
  <si>
    <t>End_Date</t>
  </si>
  <si>
    <t>Account_No</t>
  </si>
  <si>
    <t>date formate</t>
  </si>
  <si>
    <t>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</si>
</sst>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49" fontId="0" fillId="0" borderId="0" xfId="0" applyNumberFormat="1"/>
    <xf numFmtId="0" fontId="1" fillId="0" borderId="0" xfId="0" applyFont="1"/>
    <xf numFmtId="0" fontId="3" fillId="0" borderId="0" xfId="0" applyFont="1" applyAlignment="1">
      <alignment vertical="center"/>
    </xf>
    <xf numFmtId="14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10.253:4200/mx/pacs-008" TargetMode="External"/><Relationship Id="rId2" Type="http://schemas.openxmlformats.org/officeDocument/2006/relationships/hyperlink" Target="http://192.168.10.253:4200/dashboard" TargetMode="External"/><Relationship Id="rId1" Type="http://schemas.openxmlformats.org/officeDocument/2006/relationships/hyperlink" Target="http://192.168.10.253:4200/dashboard" TargetMode="External"/><Relationship Id="rId4" Type="http://schemas.openxmlformats.org/officeDocument/2006/relationships/hyperlink" Target="http://192.168.10.253:4200/dashboa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2" sqref="A2"/>
    </sheetView>
  </sheetViews>
  <sheetFormatPr defaultRowHeight="15" x14ac:dyDescent="0.25"/>
  <cols>
    <col min="1" max="1" width="60.7109375" bestFit="1" customWidth="1"/>
    <col min="2" max="3" width="1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7</v>
      </c>
      <c r="B2" t="s">
        <v>6</v>
      </c>
      <c r="C2">
        <v>123</v>
      </c>
    </row>
    <row r="3" spans="1:3" x14ac:dyDescent="0.25">
      <c r="A3" s="1"/>
      <c r="B3" t="s">
        <v>5</v>
      </c>
      <c r="C3" t="s">
        <v>5</v>
      </c>
    </row>
    <row r="4" spans="1:3" x14ac:dyDescent="0.25">
      <c r="A4" s="1"/>
      <c r="B4" t="s">
        <v>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03C0-CA1F-4DE4-9DFD-626961E733A7}">
  <dimension ref="A1:C12"/>
  <sheetViews>
    <sheetView workbookViewId="0">
      <selection activeCell="A12" sqref="A12"/>
    </sheetView>
  </sheetViews>
  <sheetFormatPr defaultRowHeight="15" x14ac:dyDescent="0.25"/>
  <cols>
    <col min="1" max="1" width="93.85546875" customWidth="1"/>
  </cols>
  <sheetData>
    <row r="1" spans="1:3" x14ac:dyDescent="0.25">
      <c r="A1" s="3" t="s">
        <v>3</v>
      </c>
      <c r="B1" t="s">
        <v>4</v>
      </c>
      <c r="C1" t="s">
        <v>76</v>
      </c>
    </row>
    <row r="2" spans="1:3" x14ac:dyDescent="0.25">
      <c r="A2" s="1" t="s">
        <v>8</v>
      </c>
      <c r="B2">
        <v>3707</v>
      </c>
      <c r="C2">
        <v>0</v>
      </c>
    </row>
    <row r="3" spans="1:3" x14ac:dyDescent="0.25">
      <c r="A3" s="1" t="s">
        <v>17</v>
      </c>
      <c r="B3">
        <v>3708</v>
      </c>
      <c r="C3">
        <v>1</v>
      </c>
    </row>
    <row r="4" spans="1:3" x14ac:dyDescent="0.25">
      <c r="A4" s="1" t="s">
        <v>8</v>
      </c>
      <c r="B4">
        <v>3706</v>
      </c>
      <c r="C4">
        <v>2</v>
      </c>
    </row>
    <row r="5" spans="1:3" x14ac:dyDescent="0.25">
      <c r="A5" s="1" t="s">
        <v>75</v>
      </c>
      <c r="B5">
        <v>3708</v>
      </c>
      <c r="C5">
        <v>3</v>
      </c>
    </row>
    <row r="6" spans="1:3" x14ac:dyDescent="0.25">
      <c r="A6" s="1" t="s">
        <v>8</v>
      </c>
      <c r="B6">
        <v>3713</v>
      </c>
      <c r="C6">
        <v>4</v>
      </c>
    </row>
    <row r="7" spans="1:3" x14ac:dyDescent="0.25">
      <c r="C7">
        <v>5</v>
      </c>
    </row>
    <row r="8" spans="1:3" x14ac:dyDescent="0.25">
      <c r="C8">
        <v>6</v>
      </c>
    </row>
    <row r="9" spans="1:3" x14ac:dyDescent="0.25">
      <c r="C9">
        <v>7</v>
      </c>
    </row>
    <row r="10" spans="1:3" x14ac:dyDescent="0.25">
      <c r="C10">
        <v>8</v>
      </c>
    </row>
    <row r="11" spans="1:3" x14ac:dyDescent="0.25">
      <c r="C11">
        <v>9</v>
      </c>
    </row>
    <row r="12" spans="1:3" x14ac:dyDescent="0.25">
      <c r="C12">
        <v>10</v>
      </c>
    </row>
  </sheetData>
  <hyperlinks>
    <hyperlink ref="A2" r:id="rId1" xr:uid="{B97EF320-8B56-4470-9F34-04D2C9B4C224}"/>
    <hyperlink ref="A4" r:id="rId2" xr:uid="{6618328B-E271-4BC2-B744-AC79B30DAE01}"/>
    <hyperlink ref="A5" r:id="rId3" xr:uid="{AA31BB57-0A06-4EE0-B88F-A0BF2C12C6EA}"/>
    <hyperlink ref="A6" r:id="rId4" xr:uid="{D9DC26F2-D7C5-4DB5-AC99-783B79769A9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701C-ABC2-49C6-9A49-272478060E68}">
  <dimension ref="A1:U3"/>
  <sheetViews>
    <sheetView topLeftCell="G1" workbookViewId="0">
      <selection activeCell="N17" sqref="N17"/>
    </sheetView>
  </sheetViews>
  <sheetFormatPr defaultRowHeight="15" x14ac:dyDescent="0.25"/>
  <cols>
    <col min="2" max="2" width="31.42578125" bestFit="1" customWidth="1"/>
    <col min="3" max="3" width="11.42578125" bestFit="1" customWidth="1"/>
    <col min="4" max="4" width="20.7109375" bestFit="1" customWidth="1"/>
    <col min="5" max="5" width="15" bestFit="1" customWidth="1"/>
    <col min="6" max="6" width="18.140625" bestFit="1" customWidth="1"/>
    <col min="7" max="7" width="7.5703125" bestFit="1" customWidth="1"/>
    <col min="8" max="8" width="11.5703125" bestFit="1" customWidth="1"/>
    <col min="11" max="11" width="12.7109375" bestFit="1" customWidth="1"/>
    <col min="12" max="12" width="14.42578125" bestFit="1" customWidth="1"/>
    <col min="13" max="14" width="13.5703125" bestFit="1" customWidth="1"/>
    <col min="15" max="15" width="15.85546875" bestFit="1" customWidth="1"/>
    <col min="17" max="18" width="17.85546875" bestFit="1" customWidth="1"/>
    <col min="19" max="19" width="14.7109375" bestFit="1" customWidth="1"/>
  </cols>
  <sheetData>
    <row r="1" spans="1:21" x14ac:dyDescent="0.25">
      <c r="A1" s="2" t="s">
        <v>24</v>
      </c>
      <c r="B1" s="2" t="s">
        <v>49</v>
      </c>
      <c r="C1" s="2" t="s">
        <v>25</v>
      </c>
      <c r="D1" s="2" t="s">
        <v>26</v>
      </c>
      <c r="E1" s="2" t="s">
        <v>28</v>
      </c>
      <c r="F1" s="2" t="s">
        <v>57</v>
      </c>
      <c r="G1" s="2" t="s">
        <v>31</v>
      </c>
      <c r="H1" s="2" t="s">
        <v>33</v>
      </c>
      <c r="I1" s="2" t="s">
        <v>14</v>
      </c>
      <c r="J1" s="2" t="s">
        <v>15</v>
      </c>
      <c r="K1" s="2" t="s">
        <v>34</v>
      </c>
      <c r="L1" s="2" t="s">
        <v>59</v>
      </c>
      <c r="M1" s="2" t="s">
        <v>61</v>
      </c>
      <c r="N1" s="2" t="s">
        <v>62</v>
      </c>
      <c r="O1" s="2" t="s">
        <v>64</v>
      </c>
      <c r="P1" s="2" t="s">
        <v>35</v>
      </c>
      <c r="Q1" s="2" t="s">
        <v>66</v>
      </c>
      <c r="R1" s="2" t="s">
        <v>67</v>
      </c>
      <c r="S1" s="2" t="s">
        <v>69</v>
      </c>
      <c r="T1" s="2" t="s">
        <v>71</v>
      </c>
      <c r="U1" s="2" t="s">
        <v>73</v>
      </c>
    </row>
    <row r="2" spans="1:21" x14ac:dyDescent="0.25">
      <c r="A2" s="2" t="s">
        <v>43</v>
      </c>
      <c r="B2" s="2" t="s">
        <v>27</v>
      </c>
      <c r="C2" s="2" t="s">
        <v>38</v>
      </c>
      <c r="D2" s="2" t="s">
        <v>39</v>
      </c>
      <c r="E2" s="2" t="s">
        <v>58</v>
      </c>
      <c r="F2" s="2" t="s">
        <v>30</v>
      </c>
      <c r="G2" s="2" t="s">
        <v>32</v>
      </c>
      <c r="H2" s="2" t="s">
        <v>46</v>
      </c>
      <c r="I2" s="2" t="s">
        <v>13</v>
      </c>
      <c r="J2" s="2" t="s">
        <v>16</v>
      </c>
      <c r="K2" s="2" t="s">
        <v>32</v>
      </c>
      <c r="L2">
        <v>1</v>
      </c>
      <c r="M2" s="2" t="s">
        <v>60</v>
      </c>
      <c r="N2" s="2" t="s">
        <v>70</v>
      </c>
      <c r="O2" s="2" t="s">
        <v>65</v>
      </c>
      <c r="P2" s="2" t="s">
        <v>63</v>
      </c>
      <c r="Q2" s="2" t="s">
        <v>68</v>
      </c>
      <c r="R2" s="2" t="s">
        <v>68</v>
      </c>
      <c r="S2" s="2" t="s">
        <v>72</v>
      </c>
      <c r="T2" s="2" t="s">
        <v>70</v>
      </c>
      <c r="U2" s="2" t="s">
        <v>74</v>
      </c>
    </row>
    <row r="3" spans="1:21" x14ac:dyDescent="0.25">
      <c r="M3" s="2"/>
      <c r="N3" s="2"/>
      <c r="O3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13B1-5843-40D8-80A2-E35B896B6A5A}">
  <dimension ref="A1:R2"/>
  <sheetViews>
    <sheetView topLeftCell="G1" workbookViewId="0">
      <selection activeCell="N1" sqref="N1:P2"/>
    </sheetView>
  </sheetViews>
  <sheetFormatPr defaultRowHeight="15" x14ac:dyDescent="0.25"/>
  <cols>
    <col min="1" max="1" width="9.85546875" style="2" bestFit="1" customWidth="1"/>
    <col min="2" max="2" width="31.42578125" style="2" bestFit="1" customWidth="1"/>
    <col min="3" max="3" width="11.42578125" style="2" bestFit="1" customWidth="1"/>
    <col min="4" max="4" width="10" style="2" customWidth="1"/>
    <col min="5" max="5" width="10" style="2" bestFit="1" customWidth="1"/>
    <col min="6" max="6" width="15" style="2" bestFit="1" customWidth="1"/>
    <col min="7" max="8" width="15" style="2" customWidth="1"/>
    <col min="9" max="9" width="10.140625" style="2" bestFit="1" customWidth="1"/>
    <col min="10" max="10" width="12.42578125" style="2" bestFit="1" customWidth="1"/>
    <col min="11" max="11" width="12.5703125" style="2" bestFit="1" customWidth="1"/>
    <col min="12" max="12" width="16.42578125" style="2" bestFit="1" customWidth="1"/>
    <col min="13" max="13" width="11.5703125" style="2" bestFit="1" customWidth="1"/>
    <col min="14" max="14" width="13.85546875" style="2" bestFit="1" customWidth="1"/>
    <col min="15" max="15" width="15.42578125" style="2" bestFit="1" customWidth="1"/>
    <col min="16" max="16" width="14.140625" style="2" bestFit="1" customWidth="1"/>
    <col min="17" max="17" width="21.7109375" style="2" bestFit="1" customWidth="1"/>
    <col min="18" max="18" width="24.42578125" style="2" bestFit="1" customWidth="1"/>
    <col min="19" max="19" width="11.42578125" style="2" bestFit="1" customWidth="1"/>
    <col min="20" max="20" width="7.42578125" style="2" bestFit="1" customWidth="1"/>
    <col min="21" max="21" width="13.28515625" style="2" bestFit="1" customWidth="1"/>
    <col min="22" max="22" width="15.140625" style="2" bestFit="1" customWidth="1"/>
    <col min="23" max="23" width="12" style="2" bestFit="1" customWidth="1"/>
    <col min="24" max="24" width="7.5703125" style="2" bestFit="1" customWidth="1"/>
    <col min="25" max="25" width="24.42578125" style="2" bestFit="1" customWidth="1"/>
    <col min="26" max="27" width="24.42578125" style="2" customWidth="1"/>
    <col min="28" max="28" width="14.7109375" style="2" bestFit="1" customWidth="1"/>
    <col min="29" max="29" width="18.5703125" style="2" bestFit="1" customWidth="1"/>
    <col min="30" max="30" width="17.5703125" style="2" customWidth="1"/>
    <col min="31" max="31" width="14.7109375" style="2" customWidth="1"/>
    <col min="32" max="32" width="16.5703125" style="2" customWidth="1"/>
    <col min="33" max="33" width="18.140625" style="2" customWidth="1"/>
    <col min="34" max="34" width="14.7109375" style="2" bestFit="1" customWidth="1"/>
    <col min="35" max="35" width="12.28515625" style="2" customWidth="1"/>
    <col min="36" max="36" width="18.28515625" style="2" customWidth="1"/>
    <col min="37" max="37" width="17.140625" style="2" customWidth="1"/>
    <col min="38" max="39" width="16.5703125" style="2" customWidth="1"/>
    <col min="40" max="40" width="13.7109375" style="2" bestFit="1" customWidth="1"/>
    <col min="41" max="41" width="14.42578125" style="2" bestFit="1" customWidth="1"/>
    <col min="42" max="42" width="28.85546875" style="2" customWidth="1"/>
    <col min="43" max="43" width="44" style="2" customWidth="1"/>
    <col min="44" max="44" width="18.7109375" style="2" customWidth="1"/>
    <col min="45" max="16384" width="9.140625" style="2"/>
  </cols>
  <sheetData>
    <row r="1" spans="1:18" x14ac:dyDescent="0.25">
      <c r="A1" s="2" t="s">
        <v>24</v>
      </c>
      <c r="B1" s="2" t="s">
        <v>49</v>
      </c>
      <c r="C1" s="2" t="s">
        <v>25</v>
      </c>
      <c r="D1" s="2" t="s">
        <v>26</v>
      </c>
      <c r="E1" s="2" t="s">
        <v>10</v>
      </c>
      <c r="F1" s="2" t="s">
        <v>28</v>
      </c>
      <c r="G1" s="2" t="s">
        <v>57</v>
      </c>
      <c r="H1" s="2" t="s">
        <v>31</v>
      </c>
      <c r="I1" s="2" t="s">
        <v>11</v>
      </c>
      <c r="J1" s="2" t="s">
        <v>12</v>
      </c>
      <c r="K1" s="2" t="s">
        <v>40</v>
      </c>
      <c r="L1" s="2" t="s">
        <v>41</v>
      </c>
      <c r="M1" s="2" t="s">
        <v>33</v>
      </c>
      <c r="N1" s="2" t="s">
        <v>14</v>
      </c>
      <c r="O1" s="2" t="s">
        <v>15</v>
      </c>
      <c r="P1" s="2" t="s">
        <v>34</v>
      </c>
      <c r="Q1" s="2" t="s">
        <v>36</v>
      </c>
      <c r="R1" s="2" t="s">
        <v>37</v>
      </c>
    </row>
    <row r="2" spans="1:18" x14ac:dyDescent="0.25">
      <c r="A2" s="2" t="s">
        <v>43</v>
      </c>
      <c r="B2" s="2" t="s">
        <v>27</v>
      </c>
      <c r="C2" s="2" t="s">
        <v>38</v>
      </c>
      <c r="D2" s="2" t="s">
        <v>39</v>
      </c>
      <c r="E2" s="2" t="s">
        <v>9</v>
      </c>
      <c r="F2" s="2" t="s">
        <v>29</v>
      </c>
      <c r="G2" s="2" t="s">
        <v>30</v>
      </c>
      <c r="H2" s="2" t="s">
        <v>32</v>
      </c>
      <c r="I2" s="2" t="s">
        <v>38</v>
      </c>
      <c r="J2" s="2" t="s">
        <v>44</v>
      </c>
      <c r="K2" s="2" t="s">
        <v>45</v>
      </c>
      <c r="L2" s="2" t="s">
        <v>42</v>
      </c>
      <c r="M2" s="2" t="s">
        <v>46</v>
      </c>
      <c r="N2" s="2" t="s">
        <v>13</v>
      </c>
      <c r="O2" s="2" t="s">
        <v>16</v>
      </c>
      <c r="P2" s="2" t="s">
        <v>32</v>
      </c>
      <c r="Q2" s="2" t="s">
        <v>47</v>
      </c>
      <c r="R2" s="2" t="s">
        <v>48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F3A6-22DF-46C3-97E7-59F8BDDBA288}">
  <dimension ref="A1:D3"/>
  <sheetViews>
    <sheetView tabSelected="1" workbookViewId="0">
      <selection activeCell="D2" sqref="D2"/>
    </sheetView>
  </sheetViews>
  <sheetFormatPr defaultRowHeight="15" x14ac:dyDescent="0.25"/>
  <cols>
    <col min="1" max="1" width="12.42578125" customWidth="1"/>
    <col min="2" max="2" width="12.42578125" bestFit="1" customWidth="1"/>
    <col min="3" max="3" width="49.42578125" bestFit="1" customWidth="1"/>
    <col min="4" max="4" width="12.7109375" bestFit="1" customWidth="1"/>
  </cols>
  <sheetData>
    <row r="1" spans="1:4" x14ac:dyDescent="0.25">
      <c r="A1" t="s">
        <v>79</v>
      </c>
      <c r="B1" t="s">
        <v>80</v>
      </c>
      <c r="C1" t="s">
        <v>78</v>
      </c>
      <c r="D1" t="s">
        <v>81</v>
      </c>
    </row>
    <row r="2" spans="1:4" x14ac:dyDescent="0.25">
      <c r="A2" s="5">
        <v>44811</v>
      </c>
      <c r="B2" s="5">
        <v>44811</v>
      </c>
      <c r="C2" t="s">
        <v>77</v>
      </c>
      <c r="D2">
        <v>12100000001</v>
      </c>
    </row>
    <row r="3" spans="1:4" x14ac:dyDescent="0.25">
      <c r="A3" t="s">
        <v>82</v>
      </c>
      <c r="B3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20F9-9E2B-4382-BD50-F742F4A27B9B}">
  <dimension ref="A3:J124"/>
  <sheetViews>
    <sheetView topLeftCell="A109" workbookViewId="0">
      <selection activeCell="J125" sqref="J125"/>
    </sheetView>
  </sheetViews>
  <sheetFormatPr defaultRowHeight="15" x14ac:dyDescent="0.25"/>
  <cols>
    <col min="2" max="2" width="9.7109375" bestFit="1" customWidth="1"/>
    <col min="3" max="3" width="10" bestFit="1" customWidth="1"/>
    <col min="7" max="7" width="12" bestFit="1" customWidth="1"/>
  </cols>
  <sheetData>
    <row r="3" spans="1:8" x14ac:dyDescent="0.25">
      <c r="B3" s="5">
        <v>45813</v>
      </c>
      <c r="C3">
        <v>263075</v>
      </c>
      <c r="D3">
        <v>7</v>
      </c>
      <c r="E3">
        <v>3</v>
      </c>
      <c r="F3">
        <f>C3*E3/36000</f>
        <v>21.922916666666666</v>
      </c>
      <c r="G3">
        <f>C3*D3/36000</f>
        <v>51.15347222222222</v>
      </c>
      <c r="H3">
        <f>G3</f>
        <v>51.15347222222222</v>
      </c>
    </row>
    <row r="4" spans="1:8" x14ac:dyDescent="0.25">
      <c r="A4">
        <v>7</v>
      </c>
      <c r="B4" s="5"/>
      <c r="C4">
        <v>263075</v>
      </c>
      <c r="D4">
        <v>7</v>
      </c>
      <c r="E4">
        <v>3</v>
      </c>
      <c r="F4">
        <f t="shared" ref="F4:F67" si="0">C4*E4/36000</f>
        <v>21.922916666666666</v>
      </c>
      <c r="G4">
        <f t="shared" ref="G4:G67" si="1">C4*D4/36000</f>
        <v>51.15347222222222</v>
      </c>
      <c r="H4">
        <f>H3+G4</f>
        <v>102.30694444444444</v>
      </c>
    </row>
    <row r="5" spans="1:8" x14ac:dyDescent="0.25">
      <c r="A5">
        <v>8</v>
      </c>
      <c r="B5" s="5"/>
      <c r="C5">
        <v>263075</v>
      </c>
      <c r="D5">
        <v>7</v>
      </c>
      <c r="E5">
        <v>3</v>
      </c>
      <c r="F5">
        <f t="shared" si="0"/>
        <v>21.922916666666666</v>
      </c>
      <c r="G5">
        <f t="shared" si="1"/>
        <v>51.15347222222222</v>
      </c>
      <c r="H5">
        <f t="shared" ref="H5:H28" si="2">H4+G5</f>
        <v>153.46041666666667</v>
      </c>
    </row>
    <row r="6" spans="1:8" x14ac:dyDescent="0.25">
      <c r="A6">
        <v>9</v>
      </c>
      <c r="B6" s="5"/>
      <c r="C6">
        <v>263075</v>
      </c>
      <c r="D6">
        <v>7</v>
      </c>
      <c r="E6">
        <v>3</v>
      </c>
      <c r="F6">
        <f t="shared" si="0"/>
        <v>21.922916666666666</v>
      </c>
      <c r="G6">
        <f t="shared" si="1"/>
        <v>51.15347222222222</v>
      </c>
      <c r="H6">
        <f t="shared" si="2"/>
        <v>204.61388888888888</v>
      </c>
    </row>
    <row r="7" spans="1:8" x14ac:dyDescent="0.25">
      <c r="A7">
        <v>10</v>
      </c>
      <c r="B7" s="5"/>
      <c r="C7">
        <v>263075</v>
      </c>
      <c r="D7">
        <v>7</v>
      </c>
      <c r="E7">
        <v>3</v>
      </c>
      <c r="F7">
        <f t="shared" si="0"/>
        <v>21.922916666666666</v>
      </c>
      <c r="G7">
        <f t="shared" si="1"/>
        <v>51.15347222222222</v>
      </c>
      <c r="H7">
        <f t="shared" si="2"/>
        <v>255.76736111111109</v>
      </c>
    </row>
    <row r="8" spans="1:8" x14ac:dyDescent="0.25">
      <c r="A8">
        <v>11</v>
      </c>
      <c r="B8" s="5"/>
      <c r="C8">
        <v>263075</v>
      </c>
      <c r="D8">
        <v>7</v>
      </c>
      <c r="E8">
        <v>3</v>
      </c>
      <c r="F8">
        <f t="shared" si="0"/>
        <v>21.922916666666666</v>
      </c>
      <c r="G8">
        <f t="shared" si="1"/>
        <v>51.15347222222222</v>
      </c>
      <c r="H8">
        <f t="shared" si="2"/>
        <v>306.92083333333329</v>
      </c>
    </row>
    <row r="9" spans="1:8" x14ac:dyDescent="0.25">
      <c r="A9">
        <v>12</v>
      </c>
      <c r="B9" s="5"/>
      <c r="C9">
        <v>263075</v>
      </c>
      <c r="D9">
        <v>7</v>
      </c>
      <c r="E9">
        <v>3</v>
      </c>
      <c r="F9">
        <f t="shared" si="0"/>
        <v>21.922916666666666</v>
      </c>
      <c r="G9">
        <f t="shared" si="1"/>
        <v>51.15347222222222</v>
      </c>
      <c r="H9">
        <f t="shared" si="2"/>
        <v>358.0743055555555</v>
      </c>
    </row>
    <row r="10" spans="1:8" x14ac:dyDescent="0.25">
      <c r="A10">
        <v>13</v>
      </c>
      <c r="B10" s="5"/>
      <c r="C10">
        <v>263075</v>
      </c>
      <c r="D10">
        <v>7</v>
      </c>
      <c r="E10">
        <v>3</v>
      </c>
      <c r="F10">
        <f t="shared" si="0"/>
        <v>21.922916666666666</v>
      </c>
      <c r="G10">
        <f t="shared" si="1"/>
        <v>51.15347222222222</v>
      </c>
      <c r="H10">
        <f t="shared" si="2"/>
        <v>409.2277777777777</v>
      </c>
    </row>
    <row r="11" spans="1:8" x14ac:dyDescent="0.25">
      <c r="A11">
        <v>14</v>
      </c>
      <c r="C11">
        <v>263075</v>
      </c>
      <c r="D11">
        <v>7</v>
      </c>
      <c r="E11">
        <v>3</v>
      </c>
      <c r="F11">
        <f t="shared" si="0"/>
        <v>21.922916666666666</v>
      </c>
      <c r="G11">
        <f t="shared" si="1"/>
        <v>51.15347222222222</v>
      </c>
      <c r="H11">
        <f t="shared" si="2"/>
        <v>460.38124999999991</v>
      </c>
    </row>
    <row r="12" spans="1:8" x14ac:dyDescent="0.25">
      <c r="A12">
        <v>15</v>
      </c>
      <c r="C12">
        <v>263075</v>
      </c>
      <c r="D12">
        <v>7</v>
      </c>
      <c r="E12">
        <v>3</v>
      </c>
      <c r="F12">
        <f t="shared" si="0"/>
        <v>21.922916666666666</v>
      </c>
      <c r="G12">
        <f t="shared" si="1"/>
        <v>51.15347222222222</v>
      </c>
      <c r="H12">
        <f t="shared" si="2"/>
        <v>511.53472222222211</v>
      </c>
    </row>
    <row r="13" spans="1:8" x14ac:dyDescent="0.25">
      <c r="A13">
        <v>16</v>
      </c>
      <c r="C13">
        <v>263075</v>
      </c>
      <c r="D13">
        <v>7</v>
      </c>
      <c r="E13">
        <v>3</v>
      </c>
      <c r="F13">
        <f t="shared" si="0"/>
        <v>21.922916666666666</v>
      </c>
      <c r="G13">
        <f t="shared" si="1"/>
        <v>51.15347222222222</v>
      </c>
      <c r="H13">
        <f t="shared" si="2"/>
        <v>562.68819444444432</v>
      </c>
    </row>
    <row r="14" spans="1:8" x14ac:dyDescent="0.25">
      <c r="A14">
        <v>17</v>
      </c>
      <c r="C14">
        <v>263075</v>
      </c>
      <c r="D14">
        <v>7</v>
      </c>
      <c r="E14">
        <v>3</v>
      </c>
      <c r="F14">
        <f t="shared" si="0"/>
        <v>21.922916666666666</v>
      </c>
      <c r="G14">
        <f t="shared" si="1"/>
        <v>51.15347222222222</v>
      </c>
      <c r="H14">
        <f t="shared" si="2"/>
        <v>613.84166666666658</v>
      </c>
    </row>
    <row r="15" spans="1:8" x14ac:dyDescent="0.25">
      <c r="A15">
        <v>18</v>
      </c>
      <c r="C15">
        <v>263075</v>
      </c>
      <c r="D15">
        <v>7</v>
      </c>
      <c r="E15">
        <v>3</v>
      </c>
      <c r="F15">
        <f t="shared" si="0"/>
        <v>21.922916666666666</v>
      </c>
      <c r="G15">
        <f t="shared" si="1"/>
        <v>51.15347222222222</v>
      </c>
      <c r="H15">
        <f t="shared" si="2"/>
        <v>664.99513888888885</v>
      </c>
    </row>
    <row r="16" spans="1:8" x14ac:dyDescent="0.25">
      <c r="A16">
        <v>19</v>
      </c>
      <c r="C16">
        <v>263075</v>
      </c>
      <c r="D16">
        <v>7</v>
      </c>
      <c r="E16">
        <v>3</v>
      </c>
      <c r="F16">
        <f t="shared" si="0"/>
        <v>21.922916666666666</v>
      </c>
      <c r="G16">
        <f t="shared" si="1"/>
        <v>51.15347222222222</v>
      </c>
      <c r="H16">
        <f t="shared" si="2"/>
        <v>716.14861111111111</v>
      </c>
    </row>
    <row r="17" spans="1:9" x14ac:dyDescent="0.25">
      <c r="A17">
        <v>20</v>
      </c>
      <c r="C17">
        <v>263075</v>
      </c>
      <c r="D17">
        <v>7</v>
      </c>
      <c r="E17">
        <v>3</v>
      </c>
      <c r="F17">
        <f t="shared" si="0"/>
        <v>21.922916666666666</v>
      </c>
      <c r="G17">
        <f t="shared" si="1"/>
        <v>51.15347222222222</v>
      </c>
      <c r="H17">
        <f t="shared" si="2"/>
        <v>767.30208333333337</v>
      </c>
    </row>
    <row r="18" spans="1:9" x14ac:dyDescent="0.25">
      <c r="A18">
        <v>21</v>
      </c>
      <c r="C18">
        <v>263075</v>
      </c>
      <c r="D18">
        <v>7</v>
      </c>
      <c r="E18">
        <v>3</v>
      </c>
      <c r="F18">
        <f t="shared" si="0"/>
        <v>21.922916666666666</v>
      </c>
      <c r="G18">
        <f t="shared" si="1"/>
        <v>51.15347222222222</v>
      </c>
      <c r="H18">
        <f t="shared" si="2"/>
        <v>818.45555555555563</v>
      </c>
    </row>
    <row r="19" spans="1:9" x14ac:dyDescent="0.25">
      <c r="A19">
        <v>22</v>
      </c>
      <c r="C19">
        <v>263075</v>
      </c>
      <c r="D19">
        <v>7</v>
      </c>
      <c r="E19">
        <v>3</v>
      </c>
      <c r="F19">
        <f t="shared" si="0"/>
        <v>21.922916666666666</v>
      </c>
      <c r="G19">
        <f t="shared" si="1"/>
        <v>51.15347222222222</v>
      </c>
      <c r="H19">
        <f t="shared" si="2"/>
        <v>869.6090277777779</v>
      </c>
    </row>
    <row r="20" spans="1:9" x14ac:dyDescent="0.25">
      <c r="A20">
        <v>23</v>
      </c>
      <c r="C20">
        <v>263075</v>
      </c>
      <c r="D20">
        <v>7</v>
      </c>
      <c r="E20">
        <v>3</v>
      </c>
      <c r="F20">
        <f t="shared" si="0"/>
        <v>21.922916666666666</v>
      </c>
      <c r="G20">
        <f t="shared" si="1"/>
        <v>51.15347222222222</v>
      </c>
      <c r="H20">
        <f t="shared" si="2"/>
        <v>920.76250000000016</v>
      </c>
    </row>
    <row r="21" spans="1:9" x14ac:dyDescent="0.25">
      <c r="A21">
        <v>24</v>
      </c>
      <c r="C21">
        <v>263075</v>
      </c>
      <c r="D21">
        <v>7</v>
      </c>
      <c r="E21">
        <v>3</v>
      </c>
      <c r="F21">
        <f t="shared" si="0"/>
        <v>21.922916666666666</v>
      </c>
      <c r="G21">
        <f t="shared" si="1"/>
        <v>51.15347222222222</v>
      </c>
      <c r="H21">
        <f t="shared" si="2"/>
        <v>971.91597222222242</v>
      </c>
    </row>
    <row r="22" spans="1:9" x14ac:dyDescent="0.25">
      <c r="A22">
        <v>25</v>
      </c>
      <c r="C22">
        <v>263075</v>
      </c>
      <c r="D22">
        <v>7</v>
      </c>
      <c r="E22">
        <v>3</v>
      </c>
      <c r="F22">
        <f t="shared" si="0"/>
        <v>21.922916666666666</v>
      </c>
      <c r="G22">
        <f t="shared" si="1"/>
        <v>51.15347222222222</v>
      </c>
      <c r="H22">
        <f t="shared" si="2"/>
        <v>1023.0694444444447</v>
      </c>
    </row>
    <row r="23" spans="1:9" x14ac:dyDescent="0.25">
      <c r="A23">
        <v>26</v>
      </c>
      <c r="C23">
        <v>263075</v>
      </c>
      <c r="D23">
        <v>7</v>
      </c>
      <c r="E23">
        <v>3</v>
      </c>
      <c r="F23">
        <f t="shared" si="0"/>
        <v>21.922916666666666</v>
      </c>
      <c r="G23">
        <f t="shared" si="1"/>
        <v>51.15347222222222</v>
      </c>
      <c r="H23">
        <f t="shared" si="2"/>
        <v>1074.2229166666668</v>
      </c>
    </row>
    <row r="24" spans="1:9" x14ac:dyDescent="0.25">
      <c r="A24">
        <v>27</v>
      </c>
      <c r="C24">
        <v>263075</v>
      </c>
      <c r="D24">
        <v>7</v>
      </c>
      <c r="E24">
        <v>3</v>
      </c>
      <c r="F24">
        <f t="shared" si="0"/>
        <v>21.922916666666666</v>
      </c>
      <c r="G24">
        <f t="shared" si="1"/>
        <v>51.15347222222222</v>
      </c>
      <c r="H24">
        <f t="shared" si="2"/>
        <v>1125.3763888888891</v>
      </c>
    </row>
    <row r="25" spans="1:9" x14ac:dyDescent="0.25">
      <c r="A25">
        <v>28</v>
      </c>
      <c r="C25">
        <v>263075</v>
      </c>
      <c r="D25">
        <v>7</v>
      </c>
      <c r="E25">
        <v>3</v>
      </c>
      <c r="F25">
        <f t="shared" si="0"/>
        <v>21.922916666666666</v>
      </c>
      <c r="G25">
        <f t="shared" si="1"/>
        <v>51.15347222222222</v>
      </c>
      <c r="H25">
        <f t="shared" si="2"/>
        <v>1176.5298611111114</v>
      </c>
    </row>
    <row r="26" spans="1:9" x14ac:dyDescent="0.25">
      <c r="A26">
        <v>29</v>
      </c>
      <c r="C26">
        <v>263075</v>
      </c>
      <c r="D26">
        <v>7</v>
      </c>
      <c r="E26">
        <v>3</v>
      </c>
      <c r="F26">
        <f t="shared" si="0"/>
        <v>21.922916666666666</v>
      </c>
      <c r="G26">
        <f t="shared" si="1"/>
        <v>51.15347222222222</v>
      </c>
      <c r="H26">
        <f t="shared" si="2"/>
        <v>1227.6833333333336</v>
      </c>
    </row>
    <row r="27" spans="1:9" x14ac:dyDescent="0.25">
      <c r="A27">
        <v>30</v>
      </c>
      <c r="C27">
        <v>263075</v>
      </c>
      <c r="D27">
        <v>7</v>
      </c>
      <c r="E27">
        <v>3</v>
      </c>
      <c r="F27">
        <f t="shared" si="0"/>
        <v>21.922916666666666</v>
      </c>
      <c r="G27">
        <f t="shared" si="1"/>
        <v>51.15347222222222</v>
      </c>
      <c r="H27">
        <f t="shared" si="2"/>
        <v>1278.8368055555559</v>
      </c>
    </row>
    <row r="28" spans="1:9" x14ac:dyDescent="0.25">
      <c r="A28">
        <v>31</v>
      </c>
      <c r="B28" t="s">
        <v>50</v>
      </c>
      <c r="C28">
        <v>263075</v>
      </c>
      <c r="D28">
        <v>7</v>
      </c>
      <c r="E28">
        <v>3</v>
      </c>
      <c r="F28">
        <f t="shared" si="0"/>
        <v>21.922916666666666</v>
      </c>
      <c r="G28">
        <f t="shared" si="1"/>
        <v>51.15347222222222</v>
      </c>
      <c r="H28">
        <f t="shared" si="2"/>
        <v>1329.9902777777781</v>
      </c>
      <c r="I28">
        <f>H28</f>
        <v>1329.9902777777781</v>
      </c>
    </row>
    <row r="29" spans="1:9" x14ac:dyDescent="0.25">
      <c r="A29">
        <v>1</v>
      </c>
      <c r="B29" s="5">
        <v>46028</v>
      </c>
      <c r="C29">
        <v>263075</v>
      </c>
      <c r="D29">
        <v>7</v>
      </c>
      <c r="E29">
        <v>3</v>
      </c>
      <c r="F29">
        <f t="shared" si="0"/>
        <v>21.922916666666666</v>
      </c>
      <c r="G29">
        <f t="shared" si="1"/>
        <v>51.15347222222222</v>
      </c>
      <c r="H29">
        <f>G29</f>
        <v>51.15347222222222</v>
      </c>
    </row>
    <row r="30" spans="1:9" x14ac:dyDescent="0.25">
      <c r="A30">
        <v>2</v>
      </c>
      <c r="C30">
        <v>263075</v>
      </c>
      <c r="D30">
        <v>7</v>
      </c>
      <c r="E30">
        <v>3</v>
      </c>
      <c r="F30">
        <f t="shared" si="0"/>
        <v>21.922916666666666</v>
      </c>
      <c r="G30">
        <f t="shared" si="1"/>
        <v>51.15347222222222</v>
      </c>
      <c r="H30">
        <f>H29+G30</f>
        <v>102.30694444444444</v>
      </c>
    </row>
    <row r="31" spans="1:9" x14ac:dyDescent="0.25">
      <c r="A31">
        <v>3</v>
      </c>
      <c r="C31">
        <v>263075</v>
      </c>
      <c r="D31">
        <v>7</v>
      </c>
      <c r="E31">
        <v>3</v>
      </c>
      <c r="F31">
        <f t="shared" si="0"/>
        <v>21.922916666666666</v>
      </c>
      <c r="G31">
        <f t="shared" si="1"/>
        <v>51.15347222222222</v>
      </c>
      <c r="H31">
        <f t="shared" ref="H31:H58" si="3">H30+G31</f>
        <v>153.46041666666667</v>
      </c>
    </row>
    <row r="32" spans="1:9" x14ac:dyDescent="0.25">
      <c r="A32">
        <v>4</v>
      </c>
      <c r="B32" s="5">
        <v>45753</v>
      </c>
      <c r="C32">
        <v>218075</v>
      </c>
      <c r="D32">
        <v>7</v>
      </c>
      <c r="E32">
        <v>3</v>
      </c>
      <c r="F32">
        <f t="shared" si="0"/>
        <v>18.172916666666666</v>
      </c>
      <c r="G32">
        <f t="shared" si="1"/>
        <v>42.40347222222222</v>
      </c>
      <c r="H32">
        <f t="shared" si="3"/>
        <v>195.86388888888888</v>
      </c>
    </row>
    <row r="33" spans="1:8" x14ac:dyDescent="0.25">
      <c r="A33">
        <v>5</v>
      </c>
      <c r="C33">
        <v>218075</v>
      </c>
      <c r="D33">
        <v>7</v>
      </c>
      <c r="E33">
        <v>3</v>
      </c>
      <c r="F33">
        <f t="shared" si="0"/>
        <v>18.172916666666666</v>
      </c>
      <c r="G33">
        <f t="shared" si="1"/>
        <v>42.40347222222222</v>
      </c>
      <c r="H33">
        <f t="shared" si="3"/>
        <v>238.26736111111109</v>
      </c>
    </row>
    <row r="34" spans="1:8" x14ac:dyDescent="0.25">
      <c r="A34">
        <v>6</v>
      </c>
      <c r="C34">
        <v>218075</v>
      </c>
      <c r="D34">
        <v>7</v>
      </c>
      <c r="E34">
        <v>3</v>
      </c>
      <c r="F34">
        <f t="shared" si="0"/>
        <v>18.172916666666666</v>
      </c>
      <c r="G34">
        <f t="shared" si="1"/>
        <v>42.40347222222222</v>
      </c>
      <c r="H34">
        <f t="shared" si="3"/>
        <v>280.67083333333329</v>
      </c>
    </row>
    <row r="35" spans="1:8" x14ac:dyDescent="0.25">
      <c r="A35">
        <v>7</v>
      </c>
      <c r="C35">
        <v>218075</v>
      </c>
      <c r="D35">
        <v>7</v>
      </c>
      <c r="E35">
        <v>3</v>
      </c>
      <c r="F35">
        <f t="shared" si="0"/>
        <v>18.172916666666666</v>
      </c>
      <c r="G35">
        <f t="shared" si="1"/>
        <v>42.40347222222222</v>
      </c>
      <c r="H35">
        <f t="shared" si="3"/>
        <v>323.0743055555555</v>
      </c>
    </row>
    <row r="36" spans="1:8" x14ac:dyDescent="0.25">
      <c r="A36">
        <v>8</v>
      </c>
      <c r="C36">
        <v>218075</v>
      </c>
      <c r="D36">
        <v>7</v>
      </c>
      <c r="E36">
        <v>3</v>
      </c>
      <c r="F36">
        <f t="shared" si="0"/>
        <v>18.172916666666666</v>
      </c>
      <c r="G36">
        <f t="shared" si="1"/>
        <v>42.40347222222222</v>
      </c>
      <c r="H36">
        <f t="shared" si="3"/>
        <v>365.4777777777777</v>
      </c>
    </row>
    <row r="37" spans="1:8" x14ac:dyDescent="0.25">
      <c r="A37">
        <v>9</v>
      </c>
      <c r="C37">
        <v>218075</v>
      </c>
      <c r="D37">
        <v>7</v>
      </c>
      <c r="E37">
        <v>3</v>
      </c>
      <c r="F37">
        <f t="shared" si="0"/>
        <v>18.172916666666666</v>
      </c>
      <c r="G37">
        <f t="shared" si="1"/>
        <v>42.40347222222222</v>
      </c>
      <c r="H37">
        <f t="shared" si="3"/>
        <v>407.88124999999991</v>
      </c>
    </row>
    <row r="38" spans="1:8" x14ac:dyDescent="0.25">
      <c r="A38">
        <v>10</v>
      </c>
      <c r="C38">
        <v>218075</v>
      </c>
      <c r="D38">
        <v>7</v>
      </c>
      <c r="E38">
        <v>3</v>
      </c>
      <c r="F38">
        <f t="shared" si="0"/>
        <v>18.172916666666666</v>
      </c>
      <c r="G38">
        <f t="shared" si="1"/>
        <v>42.40347222222222</v>
      </c>
      <c r="H38">
        <f t="shared" si="3"/>
        <v>450.28472222222211</v>
      </c>
    </row>
    <row r="39" spans="1:8" x14ac:dyDescent="0.25">
      <c r="A39">
        <v>11</v>
      </c>
      <c r="C39">
        <v>218075</v>
      </c>
      <c r="D39">
        <v>7</v>
      </c>
      <c r="E39">
        <v>3</v>
      </c>
      <c r="F39">
        <f t="shared" si="0"/>
        <v>18.172916666666666</v>
      </c>
      <c r="G39">
        <f t="shared" si="1"/>
        <v>42.40347222222222</v>
      </c>
      <c r="H39">
        <f t="shared" si="3"/>
        <v>492.68819444444432</v>
      </c>
    </row>
    <row r="40" spans="1:8" x14ac:dyDescent="0.25">
      <c r="A40">
        <v>12</v>
      </c>
      <c r="C40">
        <v>218075</v>
      </c>
      <c r="D40">
        <v>7</v>
      </c>
      <c r="E40">
        <v>3</v>
      </c>
      <c r="F40">
        <f t="shared" si="0"/>
        <v>18.172916666666666</v>
      </c>
      <c r="G40">
        <f t="shared" si="1"/>
        <v>42.40347222222222</v>
      </c>
      <c r="H40">
        <f t="shared" si="3"/>
        <v>535.09166666666658</v>
      </c>
    </row>
    <row r="41" spans="1:8" x14ac:dyDescent="0.25">
      <c r="A41">
        <v>13</v>
      </c>
      <c r="C41">
        <v>218075</v>
      </c>
      <c r="D41">
        <v>7</v>
      </c>
      <c r="E41">
        <v>3</v>
      </c>
      <c r="F41">
        <f t="shared" si="0"/>
        <v>18.172916666666666</v>
      </c>
      <c r="G41">
        <f t="shared" si="1"/>
        <v>42.40347222222222</v>
      </c>
      <c r="H41">
        <f t="shared" si="3"/>
        <v>577.49513888888885</v>
      </c>
    </row>
    <row r="42" spans="1:8" x14ac:dyDescent="0.25">
      <c r="A42">
        <v>14</v>
      </c>
      <c r="C42">
        <v>218075</v>
      </c>
      <c r="D42">
        <v>7</v>
      </c>
      <c r="E42">
        <v>3</v>
      </c>
      <c r="F42">
        <f t="shared" si="0"/>
        <v>18.172916666666666</v>
      </c>
      <c r="G42">
        <f t="shared" si="1"/>
        <v>42.40347222222222</v>
      </c>
      <c r="H42">
        <f t="shared" si="3"/>
        <v>619.89861111111111</v>
      </c>
    </row>
    <row r="43" spans="1:8" x14ac:dyDescent="0.25">
      <c r="A43">
        <v>15</v>
      </c>
      <c r="C43">
        <v>218075</v>
      </c>
      <c r="D43">
        <v>7</v>
      </c>
      <c r="E43">
        <v>3</v>
      </c>
      <c r="F43">
        <f t="shared" si="0"/>
        <v>18.172916666666666</v>
      </c>
      <c r="G43">
        <f t="shared" si="1"/>
        <v>42.40347222222222</v>
      </c>
      <c r="H43">
        <f t="shared" si="3"/>
        <v>662.30208333333337</v>
      </c>
    </row>
    <row r="44" spans="1:8" x14ac:dyDescent="0.25">
      <c r="A44">
        <v>16</v>
      </c>
      <c r="B44" t="s">
        <v>54</v>
      </c>
      <c r="C44">
        <v>263075</v>
      </c>
      <c r="D44">
        <v>7</v>
      </c>
      <c r="E44">
        <v>3</v>
      </c>
      <c r="F44">
        <f t="shared" si="0"/>
        <v>21.922916666666666</v>
      </c>
      <c r="G44">
        <f t="shared" si="1"/>
        <v>51.15347222222222</v>
      </c>
      <c r="H44">
        <f t="shared" si="3"/>
        <v>713.45555555555563</v>
      </c>
    </row>
    <row r="45" spans="1:8" x14ac:dyDescent="0.25">
      <c r="A45">
        <v>17</v>
      </c>
      <c r="C45">
        <v>263075</v>
      </c>
      <c r="D45">
        <v>7</v>
      </c>
      <c r="E45">
        <v>3</v>
      </c>
      <c r="F45">
        <f t="shared" si="0"/>
        <v>21.922916666666666</v>
      </c>
      <c r="G45">
        <f t="shared" si="1"/>
        <v>51.15347222222222</v>
      </c>
      <c r="H45">
        <f t="shared" si="3"/>
        <v>764.6090277777779</v>
      </c>
    </row>
    <row r="46" spans="1:8" x14ac:dyDescent="0.25">
      <c r="A46">
        <v>18</v>
      </c>
      <c r="C46">
        <v>263075</v>
      </c>
      <c r="D46">
        <v>7</v>
      </c>
      <c r="E46">
        <v>3</v>
      </c>
      <c r="F46">
        <f t="shared" si="0"/>
        <v>21.922916666666666</v>
      </c>
      <c r="G46">
        <f t="shared" si="1"/>
        <v>51.15347222222222</v>
      </c>
      <c r="H46">
        <f t="shared" si="3"/>
        <v>815.76250000000016</v>
      </c>
    </row>
    <row r="47" spans="1:8" x14ac:dyDescent="0.25">
      <c r="A47">
        <v>19</v>
      </c>
      <c r="C47">
        <v>263075</v>
      </c>
      <c r="D47">
        <v>7</v>
      </c>
      <c r="E47">
        <v>3</v>
      </c>
      <c r="F47">
        <f t="shared" si="0"/>
        <v>21.922916666666666</v>
      </c>
      <c r="G47">
        <f t="shared" si="1"/>
        <v>51.15347222222222</v>
      </c>
      <c r="H47">
        <f t="shared" si="3"/>
        <v>866.91597222222242</v>
      </c>
    </row>
    <row r="48" spans="1:8" x14ac:dyDescent="0.25">
      <c r="A48">
        <v>20</v>
      </c>
      <c r="C48">
        <v>263075</v>
      </c>
      <c r="D48">
        <v>7</v>
      </c>
      <c r="E48">
        <v>3</v>
      </c>
      <c r="F48">
        <f t="shared" si="0"/>
        <v>21.922916666666666</v>
      </c>
      <c r="G48">
        <f t="shared" si="1"/>
        <v>51.15347222222222</v>
      </c>
      <c r="H48">
        <f t="shared" si="3"/>
        <v>918.06944444444468</v>
      </c>
    </row>
    <row r="49" spans="1:10" x14ac:dyDescent="0.25">
      <c r="A49">
        <v>21</v>
      </c>
      <c r="C49">
        <v>263075</v>
      </c>
      <c r="D49">
        <v>7</v>
      </c>
      <c r="E49">
        <v>3</v>
      </c>
      <c r="F49">
        <f t="shared" si="0"/>
        <v>21.922916666666666</v>
      </c>
      <c r="G49">
        <f t="shared" si="1"/>
        <v>51.15347222222222</v>
      </c>
      <c r="H49">
        <f t="shared" si="3"/>
        <v>969.22291666666695</v>
      </c>
    </row>
    <row r="50" spans="1:10" x14ac:dyDescent="0.25">
      <c r="A50">
        <v>22</v>
      </c>
      <c r="C50">
        <v>263075</v>
      </c>
      <c r="D50">
        <v>7</v>
      </c>
      <c r="E50">
        <v>3</v>
      </c>
      <c r="F50">
        <f t="shared" si="0"/>
        <v>21.922916666666666</v>
      </c>
      <c r="G50">
        <f t="shared" si="1"/>
        <v>51.15347222222222</v>
      </c>
      <c r="H50">
        <f t="shared" si="3"/>
        <v>1020.3763888888892</v>
      </c>
    </row>
    <row r="51" spans="1:10" x14ac:dyDescent="0.25">
      <c r="A51">
        <v>23</v>
      </c>
      <c r="C51">
        <v>263075</v>
      </c>
      <c r="D51">
        <v>7</v>
      </c>
      <c r="E51">
        <v>3</v>
      </c>
      <c r="F51">
        <f t="shared" si="0"/>
        <v>21.922916666666666</v>
      </c>
      <c r="G51">
        <f t="shared" si="1"/>
        <v>51.15347222222222</v>
      </c>
      <c r="H51">
        <f t="shared" si="3"/>
        <v>1071.5298611111114</v>
      </c>
    </row>
    <row r="52" spans="1:10" x14ac:dyDescent="0.25">
      <c r="A52">
        <v>24</v>
      </c>
      <c r="C52">
        <v>263075</v>
      </c>
      <c r="D52">
        <v>7</v>
      </c>
      <c r="E52">
        <v>3</v>
      </c>
      <c r="F52">
        <f t="shared" si="0"/>
        <v>21.922916666666666</v>
      </c>
      <c r="G52">
        <f t="shared" si="1"/>
        <v>51.15347222222222</v>
      </c>
      <c r="H52">
        <f t="shared" si="3"/>
        <v>1122.6833333333336</v>
      </c>
    </row>
    <row r="53" spans="1:10" x14ac:dyDescent="0.25">
      <c r="A53">
        <v>25</v>
      </c>
      <c r="C53">
        <v>263075</v>
      </c>
      <c r="D53">
        <v>7</v>
      </c>
      <c r="E53">
        <v>3</v>
      </c>
      <c r="F53">
        <f t="shared" si="0"/>
        <v>21.922916666666666</v>
      </c>
      <c r="G53">
        <f t="shared" si="1"/>
        <v>51.15347222222222</v>
      </c>
      <c r="H53">
        <f t="shared" si="3"/>
        <v>1173.8368055555559</v>
      </c>
    </row>
    <row r="54" spans="1:10" x14ac:dyDescent="0.25">
      <c r="A54">
        <v>26</v>
      </c>
      <c r="B54" t="s">
        <v>55</v>
      </c>
      <c r="C54">
        <v>263245.5</v>
      </c>
      <c r="D54">
        <v>7</v>
      </c>
      <c r="E54">
        <v>3</v>
      </c>
      <c r="F54">
        <f t="shared" si="0"/>
        <v>21.937125000000002</v>
      </c>
      <c r="G54">
        <f t="shared" si="1"/>
        <v>51.186624999999999</v>
      </c>
      <c r="H54">
        <f t="shared" si="3"/>
        <v>1225.0234305555559</v>
      </c>
    </row>
    <row r="55" spans="1:10" x14ac:dyDescent="0.25">
      <c r="A55">
        <v>27</v>
      </c>
      <c r="C55">
        <v>263245.5</v>
      </c>
      <c r="D55">
        <v>7</v>
      </c>
      <c r="E55">
        <v>3</v>
      </c>
      <c r="F55">
        <f t="shared" si="0"/>
        <v>21.937125000000002</v>
      </c>
      <c r="G55">
        <f t="shared" si="1"/>
        <v>51.186624999999999</v>
      </c>
      <c r="H55">
        <f t="shared" si="3"/>
        <v>1276.210055555556</v>
      </c>
    </row>
    <row r="56" spans="1:10" x14ac:dyDescent="0.25">
      <c r="A56">
        <v>28</v>
      </c>
      <c r="C56">
        <v>263245.5</v>
      </c>
      <c r="D56">
        <v>7</v>
      </c>
      <c r="E56">
        <v>3</v>
      </c>
      <c r="F56">
        <f t="shared" si="0"/>
        <v>21.937125000000002</v>
      </c>
      <c r="G56">
        <f t="shared" si="1"/>
        <v>51.186624999999999</v>
      </c>
      <c r="H56">
        <f t="shared" si="3"/>
        <v>1327.396680555556</v>
      </c>
    </row>
    <row r="57" spans="1:10" x14ac:dyDescent="0.25">
      <c r="A57">
        <v>29</v>
      </c>
      <c r="C57">
        <v>263245.5</v>
      </c>
      <c r="D57">
        <v>7</v>
      </c>
      <c r="E57">
        <v>3</v>
      </c>
      <c r="F57">
        <f t="shared" si="0"/>
        <v>21.937125000000002</v>
      </c>
      <c r="G57">
        <f t="shared" si="1"/>
        <v>51.186624999999999</v>
      </c>
      <c r="H57">
        <f t="shared" si="3"/>
        <v>1378.5833055555561</v>
      </c>
    </row>
    <row r="58" spans="1:10" s="6" customFormat="1" x14ac:dyDescent="0.25">
      <c r="A58" s="6">
        <v>30</v>
      </c>
      <c r="B58" s="6" t="s">
        <v>51</v>
      </c>
      <c r="C58" s="6">
        <v>263245.5</v>
      </c>
      <c r="D58" s="6">
        <v>7</v>
      </c>
      <c r="E58">
        <v>3</v>
      </c>
      <c r="F58">
        <f t="shared" si="0"/>
        <v>21.937125000000002</v>
      </c>
      <c r="G58" s="6">
        <f t="shared" si="1"/>
        <v>51.186624999999999</v>
      </c>
      <c r="H58" s="6">
        <f t="shared" si="3"/>
        <v>1429.7699305555561</v>
      </c>
      <c r="I58" s="6">
        <f>H58</f>
        <v>1429.7699305555561</v>
      </c>
      <c r="J58" s="6">
        <f>I58+I28</f>
        <v>2759.760208333334</v>
      </c>
    </row>
    <row r="59" spans="1:10" x14ac:dyDescent="0.25">
      <c r="A59">
        <v>1</v>
      </c>
      <c r="B59" s="5">
        <v>45664</v>
      </c>
      <c r="C59">
        <v>266007.26</v>
      </c>
      <c r="D59">
        <v>7</v>
      </c>
      <c r="E59">
        <v>3</v>
      </c>
      <c r="F59">
        <f t="shared" si="0"/>
        <v>22.167271666666668</v>
      </c>
      <c r="G59">
        <f t="shared" si="1"/>
        <v>51.723633888888891</v>
      </c>
      <c r="H59">
        <f>G59</f>
        <v>51.723633888888891</v>
      </c>
    </row>
    <row r="60" spans="1:10" x14ac:dyDescent="0.25">
      <c r="A60">
        <v>2</v>
      </c>
      <c r="C60">
        <v>266007.26</v>
      </c>
      <c r="D60">
        <v>7</v>
      </c>
      <c r="E60">
        <v>3</v>
      </c>
      <c r="F60">
        <f t="shared" si="0"/>
        <v>22.167271666666668</v>
      </c>
      <c r="G60">
        <f t="shared" si="1"/>
        <v>51.723633888888891</v>
      </c>
      <c r="H60">
        <f>H59+G60</f>
        <v>103.44726777777778</v>
      </c>
    </row>
    <row r="61" spans="1:10" x14ac:dyDescent="0.25">
      <c r="A61">
        <v>3</v>
      </c>
      <c r="C61">
        <v>266007.26</v>
      </c>
      <c r="D61">
        <v>7</v>
      </c>
      <c r="E61">
        <v>3</v>
      </c>
      <c r="F61">
        <f t="shared" si="0"/>
        <v>22.167271666666668</v>
      </c>
      <c r="G61">
        <f t="shared" si="1"/>
        <v>51.723633888888891</v>
      </c>
      <c r="H61">
        <f t="shared" ref="H61:H89" si="4">H60+G61</f>
        <v>155.17090166666668</v>
      </c>
    </row>
    <row r="62" spans="1:10" x14ac:dyDescent="0.25">
      <c r="A62">
        <v>4</v>
      </c>
      <c r="C62">
        <v>266007.26</v>
      </c>
      <c r="D62">
        <v>7</v>
      </c>
      <c r="E62">
        <v>3</v>
      </c>
      <c r="F62">
        <f t="shared" si="0"/>
        <v>22.167271666666668</v>
      </c>
      <c r="G62">
        <f t="shared" si="1"/>
        <v>51.723633888888891</v>
      </c>
      <c r="H62">
        <f t="shared" si="4"/>
        <v>206.89453555555556</v>
      </c>
    </row>
    <row r="63" spans="1:10" x14ac:dyDescent="0.25">
      <c r="A63">
        <v>5</v>
      </c>
      <c r="C63">
        <v>266007.26</v>
      </c>
      <c r="D63">
        <v>7</v>
      </c>
      <c r="E63">
        <v>3</v>
      </c>
      <c r="F63">
        <f t="shared" si="0"/>
        <v>22.167271666666668</v>
      </c>
      <c r="G63">
        <f t="shared" si="1"/>
        <v>51.723633888888891</v>
      </c>
      <c r="H63">
        <f t="shared" si="4"/>
        <v>258.61816944444445</v>
      </c>
    </row>
    <row r="64" spans="1:10" x14ac:dyDescent="0.25">
      <c r="A64">
        <v>6</v>
      </c>
      <c r="C64">
        <v>266007.26</v>
      </c>
      <c r="D64">
        <v>7</v>
      </c>
      <c r="E64">
        <v>3</v>
      </c>
      <c r="F64">
        <f t="shared" si="0"/>
        <v>22.167271666666668</v>
      </c>
      <c r="G64">
        <f t="shared" si="1"/>
        <v>51.723633888888891</v>
      </c>
      <c r="H64">
        <f t="shared" si="4"/>
        <v>310.34180333333336</v>
      </c>
    </row>
    <row r="65" spans="1:8" x14ac:dyDescent="0.25">
      <c r="A65">
        <v>7</v>
      </c>
      <c r="C65">
        <v>266007.26</v>
      </c>
      <c r="D65">
        <v>7</v>
      </c>
      <c r="E65">
        <v>3</v>
      </c>
      <c r="F65">
        <f t="shared" si="0"/>
        <v>22.167271666666668</v>
      </c>
      <c r="G65">
        <f t="shared" si="1"/>
        <v>51.723633888888891</v>
      </c>
      <c r="H65">
        <f t="shared" si="4"/>
        <v>362.06543722222227</v>
      </c>
    </row>
    <row r="66" spans="1:8" x14ac:dyDescent="0.25">
      <c r="A66">
        <v>8</v>
      </c>
      <c r="C66">
        <v>266007.26</v>
      </c>
      <c r="D66">
        <v>7</v>
      </c>
      <c r="E66">
        <v>3</v>
      </c>
      <c r="F66">
        <f t="shared" si="0"/>
        <v>22.167271666666668</v>
      </c>
      <c r="G66">
        <f t="shared" si="1"/>
        <v>51.723633888888891</v>
      </c>
      <c r="H66">
        <f t="shared" si="4"/>
        <v>413.78907111111118</v>
      </c>
    </row>
    <row r="67" spans="1:8" x14ac:dyDescent="0.25">
      <c r="A67">
        <v>9</v>
      </c>
      <c r="C67">
        <v>266007.26</v>
      </c>
      <c r="D67">
        <v>7</v>
      </c>
      <c r="E67">
        <v>3</v>
      </c>
      <c r="F67">
        <f t="shared" si="0"/>
        <v>22.167271666666668</v>
      </c>
      <c r="G67">
        <f t="shared" si="1"/>
        <v>51.723633888888891</v>
      </c>
      <c r="H67">
        <f t="shared" si="4"/>
        <v>465.5127050000001</v>
      </c>
    </row>
    <row r="68" spans="1:8" x14ac:dyDescent="0.25">
      <c r="A68">
        <v>10</v>
      </c>
      <c r="C68">
        <v>266007.26</v>
      </c>
      <c r="D68">
        <v>7</v>
      </c>
      <c r="E68">
        <v>3</v>
      </c>
      <c r="F68">
        <f t="shared" ref="F68:F123" si="5">C68*E68/36000</f>
        <v>22.167271666666668</v>
      </c>
      <c r="G68">
        <f t="shared" ref="G68:G123" si="6">C68*D68/36000</f>
        <v>51.723633888888891</v>
      </c>
      <c r="H68">
        <f t="shared" si="4"/>
        <v>517.23633888888901</v>
      </c>
    </row>
    <row r="69" spans="1:8" x14ac:dyDescent="0.25">
      <c r="A69">
        <v>11</v>
      </c>
      <c r="C69">
        <v>266007.26</v>
      </c>
      <c r="D69">
        <v>7</v>
      </c>
      <c r="E69">
        <v>3</v>
      </c>
      <c r="F69">
        <f t="shared" si="5"/>
        <v>22.167271666666668</v>
      </c>
      <c r="G69">
        <f t="shared" si="6"/>
        <v>51.723633888888891</v>
      </c>
      <c r="H69">
        <f t="shared" si="4"/>
        <v>568.95997277777792</v>
      </c>
    </row>
    <row r="70" spans="1:8" x14ac:dyDescent="0.25">
      <c r="A70">
        <v>12</v>
      </c>
      <c r="C70">
        <v>266007.26</v>
      </c>
      <c r="D70">
        <v>7</v>
      </c>
      <c r="E70">
        <v>3</v>
      </c>
      <c r="F70">
        <f t="shared" si="5"/>
        <v>22.167271666666668</v>
      </c>
      <c r="G70">
        <f t="shared" si="6"/>
        <v>51.723633888888891</v>
      </c>
      <c r="H70">
        <f t="shared" si="4"/>
        <v>620.68360666666683</v>
      </c>
    </row>
    <row r="71" spans="1:8" x14ac:dyDescent="0.25">
      <c r="A71">
        <v>13</v>
      </c>
      <c r="C71">
        <v>266007.26</v>
      </c>
      <c r="D71">
        <v>7</v>
      </c>
      <c r="E71">
        <v>3</v>
      </c>
      <c r="F71">
        <f t="shared" si="5"/>
        <v>22.167271666666668</v>
      </c>
      <c r="G71">
        <f t="shared" si="6"/>
        <v>51.723633888888891</v>
      </c>
      <c r="H71">
        <f t="shared" si="4"/>
        <v>672.40724055555575</v>
      </c>
    </row>
    <row r="72" spans="1:8" x14ac:dyDescent="0.25">
      <c r="A72">
        <v>14</v>
      </c>
      <c r="C72">
        <v>266007.26</v>
      </c>
      <c r="D72">
        <v>7</v>
      </c>
      <c r="E72">
        <v>3</v>
      </c>
      <c r="F72">
        <f t="shared" si="5"/>
        <v>22.167271666666668</v>
      </c>
      <c r="G72">
        <f t="shared" si="6"/>
        <v>51.723633888888891</v>
      </c>
      <c r="H72">
        <f t="shared" si="4"/>
        <v>724.13087444444466</v>
      </c>
    </row>
    <row r="73" spans="1:8" x14ac:dyDescent="0.25">
      <c r="A73">
        <v>15</v>
      </c>
      <c r="C73">
        <v>266007.26</v>
      </c>
      <c r="D73">
        <v>7</v>
      </c>
      <c r="E73">
        <v>3</v>
      </c>
      <c r="F73">
        <f t="shared" si="5"/>
        <v>22.167271666666668</v>
      </c>
      <c r="G73">
        <f t="shared" si="6"/>
        <v>51.723633888888891</v>
      </c>
      <c r="H73">
        <f t="shared" si="4"/>
        <v>775.85450833333357</v>
      </c>
    </row>
    <row r="74" spans="1:8" x14ac:dyDescent="0.25">
      <c r="A74">
        <v>16</v>
      </c>
      <c r="C74">
        <v>266007.26</v>
      </c>
      <c r="D74">
        <v>7</v>
      </c>
      <c r="E74">
        <v>3</v>
      </c>
      <c r="F74">
        <f t="shared" si="5"/>
        <v>22.167271666666668</v>
      </c>
      <c r="G74">
        <f t="shared" si="6"/>
        <v>51.723633888888891</v>
      </c>
      <c r="H74">
        <f t="shared" si="4"/>
        <v>827.57814222222248</v>
      </c>
    </row>
    <row r="75" spans="1:8" x14ac:dyDescent="0.25">
      <c r="A75">
        <v>17</v>
      </c>
      <c r="C75">
        <v>266007.26</v>
      </c>
      <c r="D75">
        <v>7</v>
      </c>
      <c r="E75">
        <v>3</v>
      </c>
      <c r="F75">
        <f t="shared" si="5"/>
        <v>22.167271666666668</v>
      </c>
      <c r="G75">
        <f t="shared" si="6"/>
        <v>51.723633888888891</v>
      </c>
      <c r="H75">
        <f t="shared" si="4"/>
        <v>879.30177611111139</v>
      </c>
    </row>
    <row r="76" spans="1:8" x14ac:dyDescent="0.25">
      <c r="A76">
        <v>18</v>
      </c>
      <c r="C76">
        <v>266007.26</v>
      </c>
      <c r="D76">
        <v>7</v>
      </c>
      <c r="E76">
        <v>3</v>
      </c>
      <c r="F76">
        <f t="shared" si="5"/>
        <v>22.167271666666668</v>
      </c>
      <c r="G76">
        <f t="shared" si="6"/>
        <v>51.723633888888891</v>
      </c>
      <c r="H76">
        <f t="shared" si="4"/>
        <v>931.02541000000031</v>
      </c>
    </row>
    <row r="77" spans="1:8" x14ac:dyDescent="0.25">
      <c r="A77">
        <v>19</v>
      </c>
      <c r="C77">
        <v>266007.26</v>
      </c>
      <c r="D77">
        <v>7</v>
      </c>
      <c r="E77">
        <v>3</v>
      </c>
      <c r="F77">
        <f t="shared" si="5"/>
        <v>22.167271666666668</v>
      </c>
      <c r="G77">
        <f t="shared" si="6"/>
        <v>51.723633888888891</v>
      </c>
      <c r="H77">
        <f t="shared" si="4"/>
        <v>982.74904388888922</v>
      </c>
    </row>
    <row r="78" spans="1:8" x14ac:dyDescent="0.25">
      <c r="A78">
        <v>20</v>
      </c>
      <c r="C78">
        <v>266007.26</v>
      </c>
      <c r="D78">
        <v>7</v>
      </c>
      <c r="E78">
        <v>3</v>
      </c>
      <c r="F78">
        <f t="shared" si="5"/>
        <v>22.167271666666668</v>
      </c>
      <c r="G78">
        <f t="shared" si="6"/>
        <v>51.723633888888891</v>
      </c>
      <c r="H78">
        <f t="shared" si="4"/>
        <v>1034.472677777778</v>
      </c>
    </row>
    <row r="79" spans="1:8" x14ac:dyDescent="0.25">
      <c r="A79">
        <v>21</v>
      </c>
      <c r="C79">
        <v>266007.26</v>
      </c>
      <c r="D79">
        <v>7</v>
      </c>
      <c r="E79">
        <v>3</v>
      </c>
      <c r="F79">
        <f t="shared" si="5"/>
        <v>22.167271666666668</v>
      </c>
      <c r="G79">
        <f t="shared" si="6"/>
        <v>51.723633888888891</v>
      </c>
      <c r="H79">
        <f t="shared" si="4"/>
        <v>1086.1963116666668</v>
      </c>
    </row>
    <row r="80" spans="1:8" x14ac:dyDescent="0.25">
      <c r="A80">
        <v>22</v>
      </c>
      <c r="C80">
        <v>266007.26</v>
      </c>
      <c r="D80">
        <v>7</v>
      </c>
      <c r="E80">
        <v>3</v>
      </c>
      <c r="F80">
        <f t="shared" si="5"/>
        <v>22.167271666666668</v>
      </c>
      <c r="G80">
        <f t="shared" si="6"/>
        <v>51.723633888888891</v>
      </c>
      <c r="H80">
        <f t="shared" si="4"/>
        <v>1137.9199455555556</v>
      </c>
    </row>
    <row r="81" spans="1:9" x14ac:dyDescent="0.25">
      <c r="A81">
        <v>23</v>
      </c>
      <c r="C81">
        <v>266007.26</v>
      </c>
      <c r="D81">
        <v>7</v>
      </c>
      <c r="E81">
        <v>3</v>
      </c>
      <c r="F81">
        <f t="shared" si="5"/>
        <v>22.167271666666668</v>
      </c>
      <c r="G81">
        <f t="shared" si="6"/>
        <v>51.723633888888891</v>
      </c>
      <c r="H81">
        <f t="shared" si="4"/>
        <v>1189.6435794444444</v>
      </c>
    </row>
    <row r="82" spans="1:9" x14ac:dyDescent="0.25">
      <c r="A82">
        <v>24</v>
      </c>
      <c r="C82">
        <v>266007.26</v>
      </c>
      <c r="D82">
        <v>7</v>
      </c>
      <c r="E82">
        <v>3</v>
      </c>
      <c r="F82">
        <f t="shared" si="5"/>
        <v>22.167271666666668</v>
      </c>
      <c r="G82">
        <f t="shared" si="6"/>
        <v>51.723633888888891</v>
      </c>
      <c r="H82">
        <f t="shared" si="4"/>
        <v>1241.3672133333332</v>
      </c>
    </row>
    <row r="83" spans="1:9" x14ac:dyDescent="0.25">
      <c r="A83">
        <v>25</v>
      </c>
      <c r="C83">
        <v>266007.26</v>
      </c>
      <c r="D83">
        <v>7</v>
      </c>
      <c r="E83">
        <v>3</v>
      </c>
      <c r="F83">
        <f t="shared" si="5"/>
        <v>22.167271666666668</v>
      </c>
      <c r="G83">
        <f t="shared" si="6"/>
        <v>51.723633888888891</v>
      </c>
      <c r="H83">
        <f t="shared" si="4"/>
        <v>1293.090847222222</v>
      </c>
    </row>
    <row r="84" spans="1:9" x14ac:dyDescent="0.25">
      <c r="A84">
        <v>26</v>
      </c>
      <c r="C84">
        <v>266007.26</v>
      </c>
      <c r="D84">
        <v>7</v>
      </c>
      <c r="E84">
        <v>3</v>
      </c>
      <c r="F84">
        <f t="shared" si="5"/>
        <v>22.167271666666668</v>
      </c>
      <c r="G84">
        <f t="shared" si="6"/>
        <v>51.723633888888891</v>
      </c>
      <c r="H84">
        <f t="shared" si="4"/>
        <v>1344.8144811111108</v>
      </c>
    </row>
    <row r="85" spans="1:9" x14ac:dyDescent="0.25">
      <c r="A85">
        <v>27</v>
      </c>
      <c r="C85">
        <v>266007.26</v>
      </c>
      <c r="D85">
        <v>7</v>
      </c>
      <c r="E85">
        <v>3</v>
      </c>
      <c r="F85">
        <f t="shared" si="5"/>
        <v>22.167271666666668</v>
      </c>
      <c r="G85">
        <f t="shared" si="6"/>
        <v>51.723633888888891</v>
      </c>
      <c r="H85">
        <f t="shared" si="4"/>
        <v>1396.5381149999996</v>
      </c>
    </row>
    <row r="86" spans="1:9" x14ac:dyDescent="0.25">
      <c r="A86">
        <v>28</v>
      </c>
      <c r="C86">
        <v>266007.26</v>
      </c>
      <c r="D86">
        <v>7</v>
      </c>
      <c r="E86">
        <v>3</v>
      </c>
      <c r="F86">
        <f t="shared" si="5"/>
        <v>22.167271666666668</v>
      </c>
      <c r="G86">
        <f t="shared" si="6"/>
        <v>51.723633888888891</v>
      </c>
      <c r="H86">
        <f t="shared" si="4"/>
        <v>1448.2617488888884</v>
      </c>
    </row>
    <row r="87" spans="1:9" x14ac:dyDescent="0.25">
      <c r="A87">
        <v>29</v>
      </c>
      <c r="C87">
        <v>266007.26</v>
      </c>
      <c r="D87">
        <v>7</v>
      </c>
      <c r="E87">
        <v>3</v>
      </c>
      <c r="F87">
        <f t="shared" si="5"/>
        <v>22.167271666666668</v>
      </c>
      <c r="G87">
        <f t="shared" si="6"/>
        <v>51.723633888888891</v>
      </c>
      <c r="H87">
        <f t="shared" si="4"/>
        <v>1499.9853827777772</v>
      </c>
    </row>
    <row r="88" spans="1:9" x14ac:dyDescent="0.25">
      <c r="A88">
        <v>30</v>
      </c>
      <c r="C88">
        <v>266007.26</v>
      </c>
      <c r="D88">
        <v>7</v>
      </c>
      <c r="E88">
        <v>3</v>
      </c>
      <c r="F88">
        <f t="shared" si="5"/>
        <v>22.167271666666668</v>
      </c>
      <c r="G88">
        <f t="shared" si="6"/>
        <v>51.723633888888891</v>
      </c>
      <c r="H88">
        <f t="shared" si="4"/>
        <v>1551.709016666666</v>
      </c>
    </row>
    <row r="89" spans="1:9" x14ac:dyDescent="0.25">
      <c r="A89">
        <v>31</v>
      </c>
      <c r="B89" t="s">
        <v>52</v>
      </c>
      <c r="C89">
        <v>266007.26</v>
      </c>
      <c r="D89">
        <v>7</v>
      </c>
      <c r="E89">
        <v>3</v>
      </c>
      <c r="F89">
        <f t="shared" si="5"/>
        <v>22.167271666666668</v>
      </c>
      <c r="G89">
        <f t="shared" si="6"/>
        <v>51.723633888888891</v>
      </c>
      <c r="H89">
        <f t="shared" si="4"/>
        <v>1603.4326505555548</v>
      </c>
      <c r="I89">
        <f>H89</f>
        <v>1603.4326505555548</v>
      </c>
    </row>
    <row r="90" spans="1:9" x14ac:dyDescent="0.25">
      <c r="A90">
        <v>1</v>
      </c>
      <c r="B90" s="5">
        <v>45665</v>
      </c>
      <c r="C90">
        <v>266007.26</v>
      </c>
      <c r="D90">
        <v>7</v>
      </c>
      <c r="E90">
        <v>3</v>
      </c>
      <c r="F90">
        <f t="shared" si="5"/>
        <v>22.167271666666668</v>
      </c>
      <c r="G90">
        <f t="shared" si="6"/>
        <v>51.723633888888891</v>
      </c>
      <c r="H90">
        <f>G90</f>
        <v>51.723633888888891</v>
      </c>
    </row>
    <row r="91" spans="1:9" x14ac:dyDescent="0.25">
      <c r="A91">
        <v>2</v>
      </c>
      <c r="C91">
        <v>266007.26</v>
      </c>
      <c r="D91">
        <v>7</v>
      </c>
      <c r="E91">
        <v>3</v>
      </c>
      <c r="F91">
        <f t="shared" si="5"/>
        <v>22.167271666666668</v>
      </c>
      <c r="G91">
        <f t="shared" si="6"/>
        <v>51.723633888888891</v>
      </c>
      <c r="H91">
        <f>H90+G91</f>
        <v>103.44726777777778</v>
      </c>
    </row>
    <row r="92" spans="1:9" x14ac:dyDescent="0.25">
      <c r="A92">
        <v>3</v>
      </c>
      <c r="C92">
        <v>266007.26</v>
      </c>
      <c r="D92">
        <v>7</v>
      </c>
      <c r="E92">
        <v>3</v>
      </c>
      <c r="F92">
        <f t="shared" si="5"/>
        <v>22.167271666666668</v>
      </c>
      <c r="G92">
        <f t="shared" si="6"/>
        <v>51.723633888888891</v>
      </c>
      <c r="H92">
        <f t="shared" ref="H92:H120" si="7">H91+G92</f>
        <v>155.17090166666668</v>
      </c>
    </row>
    <row r="93" spans="1:9" x14ac:dyDescent="0.25">
      <c r="A93">
        <v>4</v>
      </c>
      <c r="C93">
        <v>266007.26</v>
      </c>
      <c r="D93">
        <v>7</v>
      </c>
      <c r="E93">
        <v>3</v>
      </c>
      <c r="F93">
        <f t="shared" si="5"/>
        <v>22.167271666666668</v>
      </c>
      <c r="G93">
        <f t="shared" si="6"/>
        <v>51.723633888888891</v>
      </c>
      <c r="H93">
        <f t="shared" si="7"/>
        <v>206.89453555555556</v>
      </c>
    </row>
    <row r="94" spans="1:9" x14ac:dyDescent="0.25">
      <c r="A94">
        <v>5</v>
      </c>
      <c r="C94">
        <v>266007.26</v>
      </c>
      <c r="D94">
        <v>7</v>
      </c>
      <c r="E94">
        <v>3</v>
      </c>
      <c r="F94">
        <f t="shared" si="5"/>
        <v>22.167271666666668</v>
      </c>
      <c r="G94">
        <f t="shared" si="6"/>
        <v>51.723633888888891</v>
      </c>
      <c r="H94">
        <f t="shared" si="7"/>
        <v>258.61816944444445</v>
      </c>
    </row>
    <row r="95" spans="1:9" x14ac:dyDescent="0.25">
      <c r="A95">
        <v>6</v>
      </c>
      <c r="C95">
        <v>266007.26</v>
      </c>
      <c r="D95">
        <v>7</v>
      </c>
      <c r="E95">
        <v>3</v>
      </c>
      <c r="F95">
        <f t="shared" si="5"/>
        <v>22.167271666666668</v>
      </c>
      <c r="G95">
        <f t="shared" si="6"/>
        <v>51.723633888888891</v>
      </c>
      <c r="H95">
        <f t="shared" si="7"/>
        <v>310.34180333333336</v>
      </c>
    </row>
    <row r="96" spans="1:9" x14ac:dyDescent="0.25">
      <c r="A96">
        <v>7</v>
      </c>
      <c r="C96">
        <v>266007.26</v>
      </c>
      <c r="D96">
        <v>7</v>
      </c>
      <c r="E96">
        <v>3</v>
      </c>
      <c r="F96">
        <f t="shared" si="5"/>
        <v>22.167271666666668</v>
      </c>
      <c r="G96">
        <f t="shared" si="6"/>
        <v>51.723633888888891</v>
      </c>
      <c r="H96">
        <f t="shared" si="7"/>
        <v>362.06543722222227</v>
      </c>
    </row>
    <row r="97" spans="1:8" x14ac:dyDescent="0.25">
      <c r="A97">
        <v>8</v>
      </c>
      <c r="C97">
        <v>266007.26</v>
      </c>
      <c r="D97">
        <v>7</v>
      </c>
      <c r="E97">
        <v>3</v>
      </c>
      <c r="F97">
        <f t="shared" si="5"/>
        <v>22.167271666666668</v>
      </c>
      <c r="G97">
        <f t="shared" si="6"/>
        <v>51.723633888888891</v>
      </c>
      <c r="H97">
        <f t="shared" si="7"/>
        <v>413.78907111111118</v>
      </c>
    </row>
    <row r="98" spans="1:8" x14ac:dyDescent="0.25">
      <c r="A98">
        <v>9</v>
      </c>
      <c r="C98">
        <v>266007.26</v>
      </c>
      <c r="D98">
        <v>7</v>
      </c>
      <c r="E98">
        <v>3</v>
      </c>
      <c r="F98">
        <f t="shared" si="5"/>
        <v>22.167271666666668</v>
      </c>
      <c r="G98">
        <f t="shared" si="6"/>
        <v>51.723633888888891</v>
      </c>
      <c r="H98">
        <f t="shared" si="7"/>
        <v>465.5127050000001</v>
      </c>
    </row>
    <row r="99" spans="1:8" x14ac:dyDescent="0.25">
      <c r="A99">
        <v>10</v>
      </c>
      <c r="C99">
        <v>266007.26</v>
      </c>
      <c r="D99">
        <v>7</v>
      </c>
      <c r="E99">
        <v>3</v>
      </c>
      <c r="F99">
        <f t="shared" si="5"/>
        <v>22.167271666666668</v>
      </c>
      <c r="G99">
        <f t="shared" si="6"/>
        <v>51.723633888888891</v>
      </c>
      <c r="H99">
        <f t="shared" si="7"/>
        <v>517.23633888888901</v>
      </c>
    </row>
    <row r="100" spans="1:8" x14ac:dyDescent="0.25">
      <c r="A100">
        <v>11</v>
      </c>
      <c r="C100">
        <v>266007.26</v>
      </c>
      <c r="D100">
        <v>7</v>
      </c>
      <c r="E100">
        <v>3</v>
      </c>
      <c r="F100">
        <f t="shared" si="5"/>
        <v>22.167271666666668</v>
      </c>
      <c r="G100">
        <f t="shared" si="6"/>
        <v>51.723633888888891</v>
      </c>
      <c r="H100">
        <f t="shared" si="7"/>
        <v>568.95997277777792</v>
      </c>
    </row>
    <row r="101" spans="1:8" x14ac:dyDescent="0.25">
      <c r="A101">
        <v>12</v>
      </c>
      <c r="C101">
        <v>266007.26</v>
      </c>
      <c r="D101">
        <v>7</v>
      </c>
      <c r="E101">
        <v>3</v>
      </c>
      <c r="F101">
        <f t="shared" si="5"/>
        <v>22.167271666666668</v>
      </c>
      <c r="G101">
        <f t="shared" si="6"/>
        <v>51.723633888888891</v>
      </c>
      <c r="H101">
        <f t="shared" si="7"/>
        <v>620.68360666666683</v>
      </c>
    </row>
    <row r="102" spans="1:8" x14ac:dyDescent="0.25">
      <c r="A102">
        <v>13</v>
      </c>
      <c r="C102">
        <v>266007.26</v>
      </c>
      <c r="D102">
        <v>7</v>
      </c>
      <c r="E102">
        <v>3</v>
      </c>
      <c r="F102">
        <f t="shared" si="5"/>
        <v>22.167271666666668</v>
      </c>
      <c r="G102">
        <f t="shared" si="6"/>
        <v>51.723633888888891</v>
      </c>
      <c r="H102">
        <f t="shared" si="7"/>
        <v>672.40724055555575</v>
      </c>
    </row>
    <row r="103" spans="1:8" x14ac:dyDescent="0.25">
      <c r="A103">
        <v>14</v>
      </c>
      <c r="C103">
        <v>266007.26</v>
      </c>
      <c r="D103">
        <v>7</v>
      </c>
      <c r="E103">
        <v>3</v>
      </c>
      <c r="F103">
        <f t="shared" si="5"/>
        <v>22.167271666666668</v>
      </c>
      <c r="G103">
        <f t="shared" si="6"/>
        <v>51.723633888888891</v>
      </c>
      <c r="H103">
        <f t="shared" si="7"/>
        <v>724.13087444444466</v>
      </c>
    </row>
    <row r="104" spans="1:8" x14ac:dyDescent="0.25">
      <c r="A104">
        <v>15</v>
      </c>
      <c r="C104">
        <v>266007.26</v>
      </c>
      <c r="D104">
        <v>7</v>
      </c>
      <c r="E104">
        <v>3</v>
      </c>
      <c r="F104">
        <f t="shared" si="5"/>
        <v>22.167271666666668</v>
      </c>
      <c r="G104">
        <f t="shared" si="6"/>
        <v>51.723633888888891</v>
      </c>
      <c r="H104">
        <f t="shared" si="7"/>
        <v>775.85450833333357</v>
      </c>
    </row>
    <row r="105" spans="1:8" x14ac:dyDescent="0.25">
      <c r="A105">
        <v>16</v>
      </c>
      <c r="C105">
        <v>266007.26</v>
      </c>
      <c r="D105">
        <v>7</v>
      </c>
      <c r="E105">
        <v>3</v>
      </c>
      <c r="F105">
        <f t="shared" si="5"/>
        <v>22.167271666666668</v>
      </c>
      <c r="G105">
        <f t="shared" si="6"/>
        <v>51.723633888888891</v>
      </c>
      <c r="H105">
        <f t="shared" si="7"/>
        <v>827.57814222222248</v>
      </c>
    </row>
    <row r="106" spans="1:8" x14ac:dyDescent="0.25">
      <c r="A106">
        <v>17</v>
      </c>
      <c r="C106">
        <v>266007.26</v>
      </c>
      <c r="D106">
        <v>7</v>
      </c>
      <c r="E106">
        <v>3</v>
      </c>
      <c r="F106">
        <f t="shared" si="5"/>
        <v>22.167271666666668</v>
      </c>
      <c r="G106">
        <f t="shared" si="6"/>
        <v>51.723633888888891</v>
      </c>
      <c r="H106">
        <f t="shared" si="7"/>
        <v>879.30177611111139</v>
      </c>
    </row>
    <row r="107" spans="1:8" x14ac:dyDescent="0.25">
      <c r="A107">
        <v>18</v>
      </c>
      <c r="C107">
        <v>266007.26</v>
      </c>
      <c r="D107">
        <v>7</v>
      </c>
      <c r="E107">
        <v>3</v>
      </c>
      <c r="F107">
        <f t="shared" si="5"/>
        <v>22.167271666666668</v>
      </c>
      <c r="G107">
        <f t="shared" si="6"/>
        <v>51.723633888888891</v>
      </c>
      <c r="H107">
        <f t="shared" si="7"/>
        <v>931.02541000000031</v>
      </c>
    </row>
    <row r="108" spans="1:8" x14ac:dyDescent="0.25">
      <c r="A108">
        <v>19</v>
      </c>
      <c r="C108">
        <v>266007.26</v>
      </c>
      <c r="D108">
        <v>7</v>
      </c>
      <c r="E108">
        <v>3</v>
      </c>
      <c r="F108">
        <f t="shared" si="5"/>
        <v>22.167271666666668</v>
      </c>
      <c r="G108">
        <f t="shared" si="6"/>
        <v>51.723633888888891</v>
      </c>
      <c r="H108">
        <f t="shared" si="7"/>
        <v>982.74904388888922</v>
      </c>
    </row>
    <row r="109" spans="1:8" x14ac:dyDescent="0.25">
      <c r="A109">
        <v>20</v>
      </c>
      <c r="B109" t="s">
        <v>56</v>
      </c>
      <c r="C109">
        <v>66007.259999999995</v>
      </c>
      <c r="D109">
        <v>7</v>
      </c>
      <c r="E109">
        <v>3</v>
      </c>
      <c r="F109">
        <f t="shared" si="5"/>
        <v>5.5006049999999993</v>
      </c>
      <c r="G109">
        <f t="shared" si="6"/>
        <v>12.834744999999998</v>
      </c>
      <c r="H109">
        <f t="shared" si="7"/>
        <v>995.58378888888922</v>
      </c>
    </row>
    <row r="110" spans="1:8" x14ac:dyDescent="0.25">
      <c r="A110">
        <v>21</v>
      </c>
      <c r="C110">
        <v>66007.259999999995</v>
      </c>
      <c r="D110">
        <v>7</v>
      </c>
      <c r="E110">
        <v>3</v>
      </c>
      <c r="F110">
        <f t="shared" si="5"/>
        <v>5.5006049999999993</v>
      </c>
      <c r="G110">
        <f t="shared" si="6"/>
        <v>12.834744999999998</v>
      </c>
      <c r="H110">
        <f t="shared" si="7"/>
        <v>1008.4185338888892</v>
      </c>
    </row>
    <row r="111" spans="1:8" x14ac:dyDescent="0.25">
      <c r="A111">
        <v>22</v>
      </c>
      <c r="C111">
        <v>66007.259999999995</v>
      </c>
      <c r="D111">
        <v>7</v>
      </c>
      <c r="E111">
        <v>3</v>
      </c>
      <c r="F111">
        <f t="shared" si="5"/>
        <v>5.5006049999999993</v>
      </c>
      <c r="G111">
        <f t="shared" si="6"/>
        <v>12.834744999999998</v>
      </c>
      <c r="H111">
        <f t="shared" si="7"/>
        <v>1021.2532788888892</v>
      </c>
    </row>
    <row r="112" spans="1:8" x14ac:dyDescent="0.25">
      <c r="A112">
        <v>23</v>
      </c>
      <c r="C112">
        <v>66007.259999999995</v>
      </c>
      <c r="D112">
        <v>7</v>
      </c>
      <c r="E112">
        <v>3</v>
      </c>
      <c r="F112">
        <f t="shared" si="5"/>
        <v>5.5006049999999993</v>
      </c>
      <c r="G112">
        <f t="shared" si="6"/>
        <v>12.834744999999998</v>
      </c>
      <c r="H112">
        <f t="shared" si="7"/>
        <v>1034.0880238888892</v>
      </c>
    </row>
    <row r="113" spans="1:10" x14ac:dyDescent="0.25">
      <c r="A113">
        <v>24</v>
      </c>
      <c r="C113">
        <v>66007.259999999995</v>
      </c>
      <c r="D113">
        <v>7</v>
      </c>
      <c r="E113">
        <v>3</v>
      </c>
      <c r="F113">
        <f t="shared" si="5"/>
        <v>5.5006049999999993</v>
      </c>
      <c r="G113">
        <f t="shared" si="6"/>
        <v>12.834744999999998</v>
      </c>
      <c r="H113">
        <f t="shared" si="7"/>
        <v>1046.9227688888891</v>
      </c>
    </row>
    <row r="114" spans="1:10" x14ac:dyDescent="0.25">
      <c r="A114">
        <v>25</v>
      </c>
      <c r="C114">
        <v>66007.259999999995</v>
      </c>
      <c r="D114">
        <v>7</v>
      </c>
      <c r="E114">
        <v>3</v>
      </c>
      <c r="F114">
        <f t="shared" si="5"/>
        <v>5.5006049999999993</v>
      </c>
      <c r="G114">
        <f t="shared" si="6"/>
        <v>12.834744999999998</v>
      </c>
      <c r="H114">
        <f t="shared" si="7"/>
        <v>1059.7575138888892</v>
      </c>
    </row>
    <row r="115" spans="1:10" x14ac:dyDescent="0.25">
      <c r="A115">
        <v>26</v>
      </c>
      <c r="C115">
        <v>66007.259999999995</v>
      </c>
      <c r="D115">
        <v>7</v>
      </c>
      <c r="E115">
        <v>3</v>
      </c>
      <c r="F115">
        <f t="shared" si="5"/>
        <v>5.5006049999999993</v>
      </c>
      <c r="G115">
        <f t="shared" si="6"/>
        <v>12.834744999999998</v>
      </c>
      <c r="H115">
        <f t="shared" si="7"/>
        <v>1072.5922588888893</v>
      </c>
    </row>
    <row r="116" spans="1:10" x14ac:dyDescent="0.25">
      <c r="A116">
        <v>27</v>
      </c>
      <c r="C116">
        <v>66007.259999999995</v>
      </c>
      <c r="D116">
        <v>7</v>
      </c>
      <c r="E116">
        <v>3</v>
      </c>
      <c r="F116">
        <f t="shared" si="5"/>
        <v>5.5006049999999993</v>
      </c>
      <c r="G116">
        <f t="shared" si="6"/>
        <v>12.834744999999998</v>
      </c>
      <c r="H116">
        <f t="shared" si="7"/>
        <v>1085.4270038888894</v>
      </c>
    </row>
    <row r="117" spans="1:10" x14ac:dyDescent="0.25">
      <c r="A117">
        <v>28</v>
      </c>
      <c r="C117">
        <v>66007.259999999995</v>
      </c>
      <c r="D117">
        <v>7</v>
      </c>
      <c r="E117">
        <v>3</v>
      </c>
      <c r="F117">
        <f t="shared" si="5"/>
        <v>5.5006049999999993</v>
      </c>
      <c r="G117">
        <f t="shared" si="6"/>
        <v>12.834744999999998</v>
      </c>
      <c r="H117">
        <f t="shared" si="7"/>
        <v>1098.2617488888895</v>
      </c>
    </row>
    <row r="118" spans="1:10" x14ac:dyDescent="0.25">
      <c r="A118">
        <v>29</v>
      </c>
      <c r="C118">
        <v>66007.259999999995</v>
      </c>
      <c r="D118">
        <v>7</v>
      </c>
      <c r="E118">
        <v>3</v>
      </c>
      <c r="F118">
        <f t="shared" si="5"/>
        <v>5.5006049999999993</v>
      </c>
      <c r="G118">
        <f t="shared" si="6"/>
        <v>12.834744999999998</v>
      </c>
      <c r="H118">
        <f t="shared" si="7"/>
        <v>1111.0964938888897</v>
      </c>
    </row>
    <row r="119" spans="1:10" x14ac:dyDescent="0.25">
      <c r="A119">
        <v>30</v>
      </c>
      <c r="C119">
        <v>66007.259999999995</v>
      </c>
      <c r="D119">
        <v>7</v>
      </c>
      <c r="E119">
        <v>3</v>
      </c>
      <c r="F119">
        <f t="shared" si="5"/>
        <v>5.5006049999999993</v>
      </c>
      <c r="G119">
        <f t="shared" si="6"/>
        <v>12.834744999999998</v>
      </c>
      <c r="H119">
        <f t="shared" si="7"/>
        <v>1123.9312388888898</v>
      </c>
    </row>
    <row r="120" spans="1:10" x14ac:dyDescent="0.25">
      <c r="A120">
        <v>31</v>
      </c>
      <c r="B120" t="s">
        <v>53</v>
      </c>
      <c r="C120">
        <v>66007.259999999995</v>
      </c>
      <c r="D120">
        <v>7</v>
      </c>
      <c r="E120">
        <v>3</v>
      </c>
      <c r="F120">
        <f t="shared" si="5"/>
        <v>5.5006049999999993</v>
      </c>
      <c r="G120">
        <f t="shared" si="6"/>
        <v>12.834744999999998</v>
      </c>
      <c r="H120">
        <f t="shared" si="7"/>
        <v>1136.7659838888899</v>
      </c>
    </row>
    <row r="121" spans="1:10" x14ac:dyDescent="0.25">
      <c r="A121">
        <v>1</v>
      </c>
      <c r="B121" s="5">
        <v>45666</v>
      </c>
      <c r="C121">
        <v>66007.259999999995</v>
      </c>
      <c r="D121">
        <v>7</v>
      </c>
      <c r="E121">
        <v>3</v>
      </c>
      <c r="F121">
        <f t="shared" si="5"/>
        <v>5.5006049999999993</v>
      </c>
      <c r="G121">
        <f t="shared" si="6"/>
        <v>12.834744999999998</v>
      </c>
      <c r="H121">
        <f>G121</f>
        <v>12.834744999999998</v>
      </c>
    </row>
    <row r="122" spans="1:10" x14ac:dyDescent="0.25">
      <c r="A122">
        <v>2</v>
      </c>
      <c r="C122">
        <v>66007.259999999995</v>
      </c>
      <c r="D122">
        <v>7</v>
      </c>
      <c r="E122">
        <v>3</v>
      </c>
      <c r="F122">
        <f t="shared" si="5"/>
        <v>5.5006049999999993</v>
      </c>
      <c r="G122">
        <f t="shared" si="6"/>
        <v>12.834744999999998</v>
      </c>
      <c r="H122">
        <f>H121+G122</f>
        <v>25.669489999999996</v>
      </c>
      <c r="I122">
        <f>H122</f>
        <v>25.669489999999996</v>
      </c>
      <c r="J122">
        <f>I122+I89</f>
        <v>1629.1021405555548</v>
      </c>
    </row>
    <row r="123" spans="1:10" x14ac:dyDescent="0.25">
      <c r="A123">
        <v>3</v>
      </c>
      <c r="B123" s="5">
        <v>45725</v>
      </c>
      <c r="C123">
        <v>0.26</v>
      </c>
      <c r="D123">
        <v>7</v>
      </c>
      <c r="E123">
        <v>3</v>
      </c>
      <c r="F123">
        <f t="shared" si="5"/>
        <v>2.1666666666666667E-5</v>
      </c>
      <c r="G123">
        <f t="shared" si="6"/>
        <v>5.0555555555555559E-5</v>
      </c>
    </row>
    <row r="124" spans="1:10" x14ac:dyDescent="0.25">
      <c r="F124">
        <f>SUM(F3:F123)</f>
        <v>2368.1264500000029</v>
      </c>
      <c r="J124">
        <f>J122*F124</f>
        <v>3857919.868801232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0866-9044-4C91-B9CD-070AE2338B25}">
  <dimension ref="A1:B9"/>
  <sheetViews>
    <sheetView workbookViewId="0">
      <selection activeCell="A10" sqref="A10"/>
    </sheetView>
  </sheetViews>
  <sheetFormatPr defaultRowHeight="15" x14ac:dyDescent="0.25"/>
  <cols>
    <col min="1" max="1" width="49" bestFit="1" customWidth="1"/>
  </cols>
  <sheetData>
    <row r="1" spans="1:2" x14ac:dyDescent="0.25">
      <c r="A1" s="4" t="s">
        <v>18</v>
      </c>
      <c r="B1" t="s">
        <v>19</v>
      </c>
    </row>
    <row r="2" spans="1:2" x14ac:dyDescent="0.25">
      <c r="A2" t="s">
        <v>20</v>
      </c>
      <c r="B2">
        <v>0</v>
      </c>
    </row>
    <row r="3" spans="1:2" x14ac:dyDescent="0.25">
      <c r="A3" t="s">
        <v>21</v>
      </c>
      <c r="B3">
        <v>1</v>
      </c>
    </row>
    <row r="4" spans="1:2" x14ac:dyDescent="0.25">
      <c r="A4" t="s">
        <v>22</v>
      </c>
      <c r="B4">
        <v>2</v>
      </c>
    </row>
    <row r="5" spans="1:2" x14ac:dyDescent="0.25">
      <c r="A5" t="s">
        <v>23</v>
      </c>
      <c r="B5">
        <v>3</v>
      </c>
    </row>
    <row r="6" spans="1:2" x14ac:dyDescent="0.25">
      <c r="B6">
        <v>4</v>
      </c>
    </row>
    <row r="7" spans="1:2" x14ac:dyDescent="0.25">
      <c r="B7">
        <v>5</v>
      </c>
    </row>
    <row r="8" spans="1:2" x14ac:dyDescent="0.25">
      <c r="B8">
        <v>6</v>
      </c>
    </row>
    <row r="9" spans="1:2" x14ac:dyDescent="0.25">
      <c r="B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MenuSearch</vt:lpstr>
      <vt:lpstr>PACS_008</vt:lpstr>
      <vt:lpstr>PACS_009</vt:lpstr>
      <vt:lpstr>CAMT_054</vt:lpstr>
      <vt:lpstr>Sheet1</vt:lpstr>
      <vt:lpstr>SFAuthorization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Md. Shafique</dc:creator>
  <cp:keywords/>
  <dc:description/>
  <cp:lastModifiedBy>Md. Niamul Islam</cp:lastModifiedBy>
  <cp:revision/>
  <dcterms:created xsi:type="dcterms:W3CDTF">2015-06-05T18:17:20Z</dcterms:created>
  <dcterms:modified xsi:type="dcterms:W3CDTF">2025-10-12T12:04:16Z</dcterms:modified>
  <cp:category/>
  <cp:contentStatus/>
</cp:coreProperties>
</file>